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F:\Risk Management\Training Material\2024.10 Seminar\2024.10.14 Monday - Risk and Performance\"/>
    </mc:Choice>
  </mc:AlternateContent>
  <xr:revisionPtr revIDLastSave="0" documentId="8_{3B6F84A4-6D6C-49D7-9E4F-4BFF464E700B}" xr6:coauthVersionLast="47" xr6:coauthVersionMax="47" xr10:uidLastSave="{00000000-0000-0000-0000-000000000000}"/>
  <bookViews>
    <workbookView xWindow="-120" yWindow="-120" windowWidth="29040" windowHeight="15840" activeTab="1" xr2:uid="{5E10C3C8-7DBA-473C-AD13-62FA1E645620}"/>
  </bookViews>
  <sheets>
    <sheet name="Notes and disclaimer" sheetId="29" r:id="rId1"/>
    <sheet name="1" sheetId="10" r:id="rId2"/>
    <sheet name="2" sheetId="25" r:id="rId3"/>
    <sheet name="3" sheetId="13" r:id="rId4"/>
    <sheet name="4" sheetId="14" r:id="rId5"/>
  </sheets>
  <functionGroups builtInGroupCount="19"/>
  <externalReferences>
    <externalReference r:id="rId6"/>
  </externalReferences>
  <definedNames>
    <definedName name="adjchol">#REF!</definedName>
    <definedName name="adjcorrs">#REF!</definedName>
    <definedName name="assetnames">#REF!</definedName>
    <definedName name="Chi_sq_threshold">#REF!</definedName>
    <definedName name="chol">#REF!</definedName>
    <definedName name="correl">'2'!$E$5</definedName>
    <definedName name="correl0.5">'2'!$E$5</definedName>
    <definedName name="correlAB">#REF!</definedName>
    <definedName name="corrs">#REF!</definedName>
    <definedName name="CVaRA" localSheetId="1">'1'!$C$7</definedName>
    <definedName name="CVaRA" localSheetId="2">'2'!$C$9</definedName>
    <definedName name="CVaRB" localSheetId="1">'1'!$D$7</definedName>
    <definedName name="CVaRB" localSheetId="2">'2'!$D$9</definedName>
    <definedName name="lambda1">#REF!</definedName>
    <definedName name="lambda2">#REF!</definedName>
    <definedName name="muA" localSheetId="1">'1'!$C$4</definedName>
    <definedName name="muA" localSheetId="2">'2'!$C$6</definedName>
    <definedName name="muAB">#REF!</definedName>
    <definedName name="muB" localSheetId="1">'1'!$D$4</definedName>
    <definedName name="muB" localSheetId="2">'2'!$D$6</definedName>
    <definedName name="muB">#REF!</definedName>
    <definedName name="pf_wts">#REF!</definedName>
    <definedName name="randcorrel">#REF!</definedName>
    <definedName name="rands">#REF!</definedName>
    <definedName name="randscorrel">#REF!</definedName>
    <definedName name="rot_mx">#REF!</definedName>
    <definedName name="sigmaA" localSheetId="1">'1'!$C$5</definedName>
    <definedName name="sigmaA" localSheetId="2">'2'!$C$7</definedName>
    <definedName name="sigmaB" localSheetId="1">'1'!$D$5</definedName>
    <definedName name="sigmaB" localSheetId="2">'2'!$D$7</definedName>
    <definedName name="simreturns">#REF!</definedName>
    <definedName name="SlideTwo">'2'!$B$3</definedName>
    <definedName name="theta">#REF!</definedName>
    <definedName name="VaR_Threshold" localSheetId="1">'1'!$C$8</definedName>
    <definedName name="VaR_Threshold" localSheetId="2">'2'!$C$11</definedName>
    <definedName name="VaR_Threshold">[1]Slide5!$C$1</definedName>
    <definedName name="VaRA" localSheetId="1">'1'!$C$6</definedName>
    <definedName name="VaRA" localSheetId="2">'2'!$C$8</definedName>
    <definedName name="VaRA">[1]Slide5!$C$5</definedName>
    <definedName name="VaRB" localSheetId="1">'1'!$D$6</definedName>
    <definedName name="VaRB" localSheetId="2">'2'!$D$8</definedName>
    <definedName name="wtA">'[1] Covar SAFE'!$C$11</definedName>
    <definedName name="wtB">'[1] Covar SAFE'!$D$11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0" i="14" l="1"/>
  <c r="H6" i="25"/>
  <c r="G6" i="25"/>
  <c r="G5" i="25"/>
  <c r="G13" i="10"/>
  <c r="D11" i="14" l="1"/>
  <c r="E11" i="14"/>
  <c r="D13" i="14"/>
  <c r="F11" i="14" l="1"/>
  <c r="B15" i="25"/>
  <c r="H5" i="25" l="1"/>
  <c r="D8" i="25"/>
  <c r="C8" i="25"/>
  <c r="C9" i="25"/>
  <c r="D9" i="25"/>
  <c r="E6" i="25"/>
  <c r="E7" i="25" l="1" a="1"/>
  <c r="E7" i="25" s="1"/>
  <c r="E8" i="25" l="1"/>
  <c r="E9" i="25"/>
  <c r="B215" i="25"/>
  <c r="A16" i="25" s="1"/>
  <c r="B211" i="10"/>
  <c r="B11" i="10"/>
  <c r="I11" i="10" s="1"/>
  <c r="A12" i="10" l="1"/>
  <c r="E249" i="14" l="1"/>
  <c r="D249" i="14"/>
  <c r="E248" i="14"/>
  <c r="D248" i="14"/>
  <c r="G248" i="14" s="1"/>
  <c r="E247" i="14"/>
  <c r="D247" i="14"/>
  <c r="E246" i="14"/>
  <c r="D246" i="14"/>
  <c r="E245" i="14"/>
  <c r="D245" i="14"/>
  <c r="E244" i="14"/>
  <c r="D244" i="14"/>
  <c r="E243" i="14"/>
  <c r="D243" i="14"/>
  <c r="E242" i="14"/>
  <c r="D242" i="14"/>
  <c r="E241" i="14"/>
  <c r="D241" i="14"/>
  <c r="E240" i="14"/>
  <c r="D240" i="14"/>
  <c r="E239" i="14"/>
  <c r="D239" i="14"/>
  <c r="E238" i="14"/>
  <c r="D238" i="14"/>
  <c r="E237" i="14"/>
  <c r="D237" i="14"/>
  <c r="E236" i="14"/>
  <c r="D236" i="14"/>
  <c r="E235" i="14"/>
  <c r="D235" i="14"/>
  <c r="E234" i="14"/>
  <c r="D234" i="14"/>
  <c r="E233" i="14"/>
  <c r="D233" i="14"/>
  <c r="E232" i="14"/>
  <c r="D232" i="14"/>
  <c r="E231" i="14"/>
  <c r="D231" i="14"/>
  <c r="E230" i="14"/>
  <c r="D230" i="14"/>
  <c r="E229" i="14"/>
  <c r="D229" i="14"/>
  <c r="E228" i="14"/>
  <c r="D228" i="14"/>
  <c r="E227" i="14"/>
  <c r="D227" i="14"/>
  <c r="E226" i="14"/>
  <c r="D226" i="14"/>
  <c r="E225" i="14"/>
  <c r="D225" i="14"/>
  <c r="E224" i="14"/>
  <c r="D224" i="14"/>
  <c r="E223" i="14"/>
  <c r="D223" i="14"/>
  <c r="E222" i="14"/>
  <c r="D222" i="14"/>
  <c r="E221" i="14"/>
  <c r="D221" i="14"/>
  <c r="E220" i="14"/>
  <c r="D220" i="14"/>
  <c r="E219" i="14"/>
  <c r="D219" i="14"/>
  <c r="E218" i="14"/>
  <c r="D218" i="14"/>
  <c r="E217" i="14"/>
  <c r="D217" i="14"/>
  <c r="E216" i="14"/>
  <c r="D216" i="14"/>
  <c r="E215" i="14"/>
  <c r="D215" i="14"/>
  <c r="E214" i="14"/>
  <c r="D214" i="14"/>
  <c r="E213" i="14"/>
  <c r="D213" i="14"/>
  <c r="E212" i="14"/>
  <c r="D212" i="14"/>
  <c r="E211" i="14"/>
  <c r="D211" i="14"/>
  <c r="E210" i="14"/>
  <c r="D210" i="14"/>
  <c r="E209" i="14"/>
  <c r="D209" i="14"/>
  <c r="E208" i="14"/>
  <c r="D208" i="14"/>
  <c r="E207" i="14"/>
  <c r="D207" i="14"/>
  <c r="E206" i="14"/>
  <c r="D206" i="14"/>
  <c r="E205" i="14"/>
  <c r="D205" i="14"/>
  <c r="E204" i="14"/>
  <c r="D204" i="14"/>
  <c r="E203" i="14"/>
  <c r="D203" i="14"/>
  <c r="E202" i="14"/>
  <c r="D202" i="14"/>
  <c r="E201" i="14"/>
  <c r="D201" i="14"/>
  <c r="E200" i="14"/>
  <c r="D200" i="14"/>
  <c r="E199" i="14"/>
  <c r="D199" i="14"/>
  <c r="E198" i="14"/>
  <c r="D198" i="14"/>
  <c r="E197" i="14"/>
  <c r="D197" i="14"/>
  <c r="E196" i="14"/>
  <c r="D196" i="14"/>
  <c r="E195" i="14"/>
  <c r="D195" i="14"/>
  <c r="E194" i="14"/>
  <c r="D194" i="14"/>
  <c r="E193" i="14"/>
  <c r="D193" i="14"/>
  <c r="E192" i="14"/>
  <c r="D192" i="14"/>
  <c r="E191" i="14"/>
  <c r="D191" i="14"/>
  <c r="E190" i="14"/>
  <c r="D190" i="14"/>
  <c r="E189" i="14"/>
  <c r="D189" i="14"/>
  <c r="E188" i="14"/>
  <c r="D188" i="14"/>
  <c r="E187" i="14"/>
  <c r="D187" i="14"/>
  <c r="E186" i="14"/>
  <c r="D186" i="14"/>
  <c r="E185" i="14"/>
  <c r="D185" i="14"/>
  <c r="E184" i="14"/>
  <c r="D184" i="14"/>
  <c r="E183" i="14"/>
  <c r="D183" i="14"/>
  <c r="E182" i="14"/>
  <c r="D182" i="14"/>
  <c r="E181" i="14"/>
  <c r="D181" i="14"/>
  <c r="E180" i="14"/>
  <c r="D180" i="14"/>
  <c r="E179" i="14"/>
  <c r="D179" i="14"/>
  <c r="E178" i="14"/>
  <c r="D178" i="14"/>
  <c r="E177" i="14"/>
  <c r="D177" i="14"/>
  <c r="E176" i="14"/>
  <c r="D176" i="14"/>
  <c r="E175" i="14"/>
  <c r="D175" i="14"/>
  <c r="E174" i="14"/>
  <c r="D174" i="14"/>
  <c r="E173" i="14"/>
  <c r="D173" i="14"/>
  <c r="E172" i="14"/>
  <c r="D172" i="14"/>
  <c r="E171" i="14"/>
  <c r="D171" i="14"/>
  <c r="E170" i="14"/>
  <c r="D170" i="14"/>
  <c r="E169" i="14"/>
  <c r="D169" i="14"/>
  <c r="E168" i="14"/>
  <c r="D168" i="14"/>
  <c r="E167" i="14"/>
  <c r="D167" i="14"/>
  <c r="E166" i="14"/>
  <c r="D166" i="14"/>
  <c r="E165" i="14"/>
  <c r="D165" i="14"/>
  <c r="E164" i="14"/>
  <c r="D164" i="14"/>
  <c r="E163" i="14"/>
  <c r="D163" i="14"/>
  <c r="E162" i="14"/>
  <c r="D162" i="14"/>
  <c r="E161" i="14"/>
  <c r="D161" i="14"/>
  <c r="E160" i="14"/>
  <c r="D160" i="14"/>
  <c r="E159" i="14"/>
  <c r="D159" i="14"/>
  <c r="E158" i="14"/>
  <c r="D158" i="14"/>
  <c r="E157" i="14"/>
  <c r="D157" i="14"/>
  <c r="E156" i="14"/>
  <c r="D156" i="14"/>
  <c r="E155" i="14"/>
  <c r="D155" i="14"/>
  <c r="E154" i="14"/>
  <c r="D154" i="14"/>
  <c r="E153" i="14"/>
  <c r="D153" i="14"/>
  <c r="E152" i="14"/>
  <c r="D152" i="14"/>
  <c r="E151" i="14"/>
  <c r="D151" i="14"/>
  <c r="E150" i="14"/>
  <c r="D150" i="14"/>
  <c r="E149" i="14"/>
  <c r="D149" i="14"/>
  <c r="E148" i="14"/>
  <c r="D148" i="14"/>
  <c r="E147" i="14"/>
  <c r="D147" i="14"/>
  <c r="E146" i="14"/>
  <c r="D146" i="14"/>
  <c r="E145" i="14"/>
  <c r="D145" i="14"/>
  <c r="E144" i="14"/>
  <c r="D144" i="14"/>
  <c r="E143" i="14"/>
  <c r="D143" i="14"/>
  <c r="E142" i="14"/>
  <c r="D142" i="14"/>
  <c r="E141" i="14"/>
  <c r="D141" i="14"/>
  <c r="E140" i="14"/>
  <c r="D140" i="14"/>
  <c r="E139" i="14"/>
  <c r="D139" i="14"/>
  <c r="E138" i="14"/>
  <c r="D138" i="14"/>
  <c r="E137" i="14"/>
  <c r="D137" i="14"/>
  <c r="E136" i="14"/>
  <c r="D136" i="14"/>
  <c r="E135" i="14"/>
  <c r="D135" i="14"/>
  <c r="E134" i="14"/>
  <c r="D134" i="14"/>
  <c r="E133" i="14"/>
  <c r="D133" i="14"/>
  <c r="E132" i="14"/>
  <c r="D132" i="14"/>
  <c r="E131" i="14"/>
  <c r="D131" i="14"/>
  <c r="E130" i="14"/>
  <c r="D130" i="14"/>
  <c r="E129" i="14"/>
  <c r="D129" i="14"/>
  <c r="E128" i="14"/>
  <c r="D128" i="14"/>
  <c r="E127" i="14"/>
  <c r="D127" i="14"/>
  <c r="E126" i="14"/>
  <c r="D126" i="14"/>
  <c r="E125" i="14"/>
  <c r="D125" i="14"/>
  <c r="E124" i="14"/>
  <c r="D124" i="14"/>
  <c r="E123" i="14"/>
  <c r="D123" i="14"/>
  <c r="E122" i="14"/>
  <c r="D122" i="14"/>
  <c r="E121" i="14"/>
  <c r="D121" i="14"/>
  <c r="E120" i="14"/>
  <c r="D120" i="14"/>
  <c r="E119" i="14"/>
  <c r="D119" i="14"/>
  <c r="E118" i="14"/>
  <c r="D118" i="14"/>
  <c r="E117" i="14"/>
  <c r="D117" i="14"/>
  <c r="E116" i="14"/>
  <c r="D116" i="14"/>
  <c r="E115" i="14"/>
  <c r="D115" i="14"/>
  <c r="E114" i="14"/>
  <c r="D114" i="14"/>
  <c r="E113" i="14"/>
  <c r="D113" i="14"/>
  <c r="E112" i="14"/>
  <c r="D112" i="14"/>
  <c r="E111" i="14"/>
  <c r="D111" i="14"/>
  <c r="E110" i="14"/>
  <c r="D110" i="14"/>
  <c r="E109" i="14"/>
  <c r="D109" i="14"/>
  <c r="E108" i="14"/>
  <c r="D108" i="14"/>
  <c r="E107" i="14"/>
  <c r="D107" i="14"/>
  <c r="E106" i="14"/>
  <c r="D106" i="14"/>
  <c r="E105" i="14"/>
  <c r="D105" i="14"/>
  <c r="E104" i="14"/>
  <c r="D104" i="14"/>
  <c r="E103" i="14"/>
  <c r="D103" i="14"/>
  <c r="E102" i="14"/>
  <c r="D102" i="14"/>
  <c r="E101" i="14"/>
  <c r="D101" i="14"/>
  <c r="E100" i="14"/>
  <c r="D100" i="14"/>
  <c r="E99" i="14"/>
  <c r="D99" i="14"/>
  <c r="E98" i="14"/>
  <c r="D98" i="14"/>
  <c r="E97" i="14"/>
  <c r="D97" i="14"/>
  <c r="E96" i="14"/>
  <c r="D96" i="14"/>
  <c r="E95" i="14"/>
  <c r="D95" i="14"/>
  <c r="E94" i="14"/>
  <c r="D94" i="14"/>
  <c r="E93" i="14"/>
  <c r="D93" i="14"/>
  <c r="E92" i="14"/>
  <c r="D92" i="14"/>
  <c r="E91" i="14"/>
  <c r="D91" i="14"/>
  <c r="E90" i="14"/>
  <c r="D90" i="14"/>
  <c r="E89" i="14"/>
  <c r="D89" i="14"/>
  <c r="E88" i="14"/>
  <c r="D88" i="14"/>
  <c r="E87" i="14"/>
  <c r="D87" i="14"/>
  <c r="E86" i="14"/>
  <c r="D86" i="14"/>
  <c r="E85" i="14"/>
  <c r="D85" i="14"/>
  <c r="E84" i="14"/>
  <c r="D84" i="14"/>
  <c r="E83" i="14"/>
  <c r="D83" i="14"/>
  <c r="E82" i="14"/>
  <c r="D82" i="14"/>
  <c r="E81" i="14"/>
  <c r="D81" i="14"/>
  <c r="E80" i="14"/>
  <c r="D80" i="14"/>
  <c r="E79" i="14"/>
  <c r="D79" i="14"/>
  <c r="E78" i="14"/>
  <c r="D78" i="14"/>
  <c r="E77" i="14"/>
  <c r="D77" i="14"/>
  <c r="E76" i="14"/>
  <c r="D76" i="14"/>
  <c r="E75" i="14"/>
  <c r="D75" i="14"/>
  <c r="E74" i="14"/>
  <c r="D74" i="14"/>
  <c r="E73" i="14"/>
  <c r="D73" i="14"/>
  <c r="E72" i="14"/>
  <c r="D72" i="14"/>
  <c r="E71" i="14"/>
  <c r="D71" i="14"/>
  <c r="E70" i="14"/>
  <c r="D70" i="14"/>
  <c r="E69" i="14"/>
  <c r="D69" i="14"/>
  <c r="E68" i="14"/>
  <c r="D68" i="14"/>
  <c r="E67" i="14"/>
  <c r="D67" i="14"/>
  <c r="E66" i="14"/>
  <c r="D66" i="14"/>
  <c r="E65" i="14"/>
  <c r="D65" i="14"/>
  <c r="E64" i="14"/>
  <c r="D64" i="14"/>
  <c r="E63" i="14"/>
  <c r="D63" i="14"/>
  <c r="E62" i="14"/>
  <c r="D62" i="14"/>
  <c r="E61" i="14"/>
  <c r="D61" i="14"/>
  <c r="E60" i="14"/>
  <c r="D60" i="14"/>
  <c r="E59" i="14"/>
  <c r="D59" i="14"/>
  <c r="E58" i="14"/>
  <c r="D58" i="14"/>
  <c r="E57" i="14"/>
  <c r="D57" i="14"/>
  <c r="E56" i="14"/>
  <c r="D56" i="14"/>
  <c r="E55" i="14"/>
  <c r="D55" i="14"/>
  <c r="E54" i="14"/>
  <c r="D54" i="14"/>
  <c r="E53" i="14"/>
  <c r="D53" i="14"/>
  <c r="E52" i="14"/>
  <c r="D52" i="14"/>
  <c r="E51" i="14"/>
  <c r="D51" i="14"/>
  <c r="E50" i="14"/>
  <c r="D50" i="14"/>
  <c r="E49" i="14"/>
  <c r="D49" i="14"/>
  <c r="E48" i="14"/>
  <c r="D48" i="14"/>
  <c r="E47" i="14"/>
  <c r="D47" i="14"/>
  <c r="E46" i="14"/>
  <c r="D46" i="14"/>
  <c r="E45" i="14"/>
  <c r="D45" i="14"/>
  <c r="E44" i="14"/>
  <c r="D44" i="14"/>
  <c r="E43" i="14"/>
  <c r="D43" i="14"/>
  <c r="E42" i="14"/>
  <c r="D42" i="14"/>
  <c r="E41" i="14"/>
  <c r="D41" i="14"/>
  <c r="E40" i="14"/>
  <c r="D40" i="14"/>
  <c r="E39" i="14"/>
  <c r="D39" i="14"/>
  <c r="E38" i="14"/>
  <c r="D38" i="14"/>
  <c r="E37" i="14"/>
  <c r="D37" i="14"/>
  <c r="E36" i="14"/>
  <c r="D36" i="14"/>
  <c r="E35" i="14"/>
  <c r="D35" i="14"/>
  <c r="E34" i="14"/>
  <c r="D34" i="14"/>
  <c r="E33" i="14"/>
  <c r="D33" i="14"/>
  <c r="E32" i="14"/>
  <c r="D32" i="14"/>
  <c r="E31" i="14"/>
  <c r="D31" i="14"/>
  <c r="E30" i="14"/>
  <c r="D30" i="14"/>
  <c r="E29" i="14"/>
  <c r="D29" i="14"/>
  <c r="E28" i="14"/>
  <c r="D28" i="14"/>
  <c r="E27" i="14"/>
  <c r="D27" i="14"/>
  <c r="E26" i="14"/>
  <c r="D26" i="14"/>
  <c r="E25" i="14"/>
  <c r="D25" i="14"/>
  <c r="E24" i="14"/>
  <c r="D24" i="14"/>
  <c r="G24" i="14" s="1"/>
  <c r="E23" i="14"/>
  <c r="D23" i="14"/>
  <c r="E22" i="14"/>
  <c r="D22" i="14"/>
  <c r="E21" i="14"/>
  <c r="D21" i="14"/>
  <c r="E20" i="14"/>
  <c r="D20" i="14"/>
  <c r="E19" i="14"/>
  <c r="D19" i="14"/>
  <c r="E18" i="14"/>
  <c r="D18" i="14"/>
  <c r="E17" i="14"/>
  <c r="D17" i="14"/>
  <c r="E16" i="14"/>
  <c r="D16" i="14"/>
  <c r="G16" i="14" s="1"/>
  <c r="E15" i="14"/>
  <c r="D15" i="14"/>
  <c r="E14" i="14"/>
  <c r="D14" i="14"/>
  <c r="E13" i="14"/>
  <c r="E12" i="14"/>
  <c r="D12" i="14"/>
  <c r="G12" i="14" s="1"/>
  <c r="E10" i="14"/>
  <c r="F10" i="14" s="1"/>
  <c r="D10" i="14"/>
  <c r="K9" i="14"/>
  <c r="F7" i="13"/>
  <c r="I6" i="13" a="1"/>
  <c r="I6" i="13" s="1"/>
  <c r="H6" i="13"/>
  <c r="F26" i="13"/>
  <c r="I25" i="13" a="1"/>
  <c r="I25" i="13" s="1"/>
  <c r="H25" i="13"/>
  <c r="F45" i="13"/>
  <c r="G45" i="13" s="1"/>
  <c r="F46" i="13" s="1"/>
  <c r="G46" i="13" s="1"/>
  <c r="F47" i="13" s="1"/>
  <c r="I44" i="13" a="1"/>
  <c r="I44" i="13" s="1"/>
  <c r="H44" i="13"/>
  <c r="D7" i="13"/>
  <c r="B7" i="13"/>
  <c r="C7" i="13"/>
  <c r="D6" i="13"/>
  <c r="B6" i="13"/>
  <c r="C6" i="13"/>
  <c r="D5" i="13"/>
  <c r="B5" i="13"/>
  <c r="C5" i="13"/>
  <c r="D4" i="13"/>
  <c r="B4" i="13"/>
  <c r="C4" i="13"/>
  <c r="B16" i="25"/>
  <c r="D15" i="25"/>
  <c r="C15" i="25"/>
  <c r="I27" i="10"/>
  <c r="I26" i="10"/>
  <c r="F26" i="10"/>
  <c r="I25" i="10"/>
  <c r="J25" i="10" s="1"/>
  <c r="F25" i="10"/>
  <c r="G25" i="10" s="1"/>
  <c r="I24" i="10"/>
  <c r="F24" i="10"/>
  <c r="I23" i="10"/>
  <c r="F23" i="10"/>
  <c r="I22" i="10"/>
  <c r="J22" i="10" s="1"/>
  <c r="F22" i="10"/>
  <c r="G22" i="10" s="1"/>
  <c r="I21" i="10"/>
  <c r="F21" i="10"/>
  <c r="I20" i="10"/>
  <c r="F20" i="10"/>
  <c r="I19" i="10"/>
  <c r="J19" i="10" s="1"/>
  <c r="F19" i="10"/>
  <c r="G19" i="10" s="1"/>
  <c r="I18" i="10"/>
  <c r="F18" i="10"/>
  <c r="D7" i="10"/>
  <c r="I14" i="10" s="1"/>
  <c r="C7" i="10"/>
  <c r="F13" i="10" s="1"/>
  <c r="D6" i="10"/>
  <c r="I15" i="10" s="1"/>
  <c r="C6" i="10"/>
  <c r="G245" i="14" l="1"/>
  <c r="G18" i="14"/>
  <c r="G26" i="14"/>
  <c r="G34" i="14"/>
  <c r="G42" i="14"/>
  <c r="G50" i="14"/>
  <c r="G58" i="14"/>
  <c r="G66" i="14"/>
  <c r="G74" i="14"/>
  <c r="G82" i="14"/>
  <c r="G90" i="14"/>
  <c r="G98" i="14"/>
  <c r="G106" i="14"/>
  <c r="G15" i="14"/>
  <c r="F220" i="14"/>
  <c r="F212" i="14"/>
  <c r="F172" i="14"/>
  <c r="F180" i="14"/>
  <c r="F188" i="14"/>
  <c r="F166" i="14"/>
  <c r="F170" i="14"/>
  <c r="F174" i="14"/>
  <c r="F178" i="14"/>
  <c r="F182" i="14"/>
  <c r="F186" i="14"/>
  <c r="F190" i="14"/>
  <c r="F194" i="14"/>
  <c r="F198" i="14"/>
  <c r="F202" i="14"/>
  <c r="F206" i="14"/>
  <c r="F210" i="14"/>
  <c r="F214" i="14"/>
  <c r="F222" i="14"/>
  <c r="F196" i="14"/>
  <c r="F204" i="14"/>
  <c r="F248" i="14"/>
  <c r="F230" i="14"/>
  <c r="F228" i="14"/>
  <c r="F236" i="14"/>
  <c r="F238" i="14"/>
  <c r="G239" i="14"/>
  <c r="G114" i="14"/>
  <c r="G122" i="14"/>
  <c r="G130" i="14"/>
  <c r="G138" i="14"/>
  <c r="F218" i="14"/>
  <c r="G20" i="14"/>
  <c r="G28" i="14"/>
  <c r="G36" i="14"/>
  <c r="G44" i="14"/>
  <c r="G52" i="14"/>
  <c r="G60" i="14"/>
  <c r="G68" i="14"/>
  <c r="G140" i="14"/>
  <c r="G148" i="14"/>
  <c r="G156" i="14"/>
  <c r="F244" i="14"/>
  <c r="G22" i="14"/>
  <c r="G30" i="14"/>
  <c r="G38" i="14"/>
  <c r="G46" i="14"/>
  <c r="G54" i="14"/>
  <c r="G62" i="14"/>
  <c r="G70" i="14"/>
  <c r="G78" i="14"/>
  <c r="G86" i="14"/>
  <c r="G94" i="14"/>
  <c r="G102" i="14"/>
  <c r="G110" i="14"/>
  <c r="G118" i="14"/>
  <c r="G126" i="14"/>
  <c r="G134" i="14"/>
  <c r="G142" i="14"/>
  <c r="G150" i="14"/>
  <c r="G158" i="14"/>
  <c r="F246" i="14"/>
  <c r="F168" i="14"/>
  <c r="F176" i="14"/>
  <c r="F184" i="14"/>
  <c r="F192" i="14"/>
  <c r="F200" i="14"/>
  <c r="F208" i="14"/>
  <c r="F216" i="14"/>
  <c r="F224" i="14"/>
  <c r="F232" i="14"/>
  <c r="F226" i="14"/>
  <c r="G164" i="14"/>
  <c r="G166" i="14"/>
  <c r="G32" i="14"/>
  <c r="G40" i="14"/>
  <c r="G48" i="14"/>
  <c r="G56" i="14"/>
  <c r="G64" i="14"/>
  <c r="G136" i="14"/>
  <c r="G144" i="14"/>
  <c r="G152" i="14"/>
  <c r="G160" i="14"/>
  <c r="F240" i="14"/>
  <c r="F249" i="14"/>
  <c r="G146" i="14"/>
  <c r="G154" i="14"/>
  <c r="G162" i="14"/>
  <c r="F234" i="14"/>
  <c r="F242" i="14"/>
  <c r="F18" i="14"/>
  <c r="F24" i="14"/>
  <c r="F30" i="14"/>
  <c r="F36" i="14"/>
  <c r="F42" i="14"/>
  <c r="F50" i="14"/>
  <c r="F56" i="14"/>
  <c r="F62" i="14"/>
  <c r="F70" i="14"/>
  <c r="F80" i="14"/>
  <c r="F88" i="14"/>
  <c r="F94" i="14"/>
  <c r="F100" i="14"/>
  <c r="F108" i="14"/>
  <c r="F112" i="14"/>
  <c r="F118" i="14"/>
  <c r="F122" i="14"/>
  <c r="F126" i="14"/>
  <c r="F132" i="14"/>
  <c r="F138" i="14"/>
  <c r="F142" i="14"/>
  <c r="F148" i="14"/>
  <c r="F154" i="14"/>
  <c r="F158" i="14"/>
  <c r="F162" i="14"/>
  <c r="F16" i="14"/>
  <c r="F22" i="14"/>
  <c r="F28" i="14"/>
  <c r="F32" i="14"/>
  <c r="F38" i="14"/>
  <c r="F44" i="14"/>
  <c r="F48" i="14"/>
  <c r="F52" i="14"/>
  <c r="F58" i="14"/>
  <c r="F64" i="14"/>
  <c r="F68" i="14"/>
  <c r="F72" i="14"/>
  <c r="F74" i="14"/>
  <c r="F78" i="14"/>
  <c r="F82" i="14"/>
  <c r="F86" i="14"/>
  <c r="F90" i="14"/>
  <c r="F92" i="14"/>
  <c r="F96" i="14"/>
  <c r="F98" i="14"/>
  <c r="F102" i="14"/>
  <c r="F106" i="14"/>
  <c r="F110" i="14"/>
  <c r="F114" i="14"/>
  <c r="F116" i="14"/>
  <c r="F120" i="14"/>
  <c r="F124" i="14"/>
  <c r="F128" i="14"/>
  <c r="F130" i="14"/>
  <c r="F134" i="14"/>
  <c r="F136" i="14"/>
  <c r="F140" i="14"/>
  <c r="F144" i="14"/>
  <c r="F146" i="14"/>
  <c r="F150" i="14"/>
  <c r="F152" i="14"/>
  <c r="F156" i="14"/>
  <c r="F160" i="14"/>
  <c r="F164" i="14"/>
  <c r="F12" i="14"/>
  <c r="G14" i="14"/>
  <c r="F14" i="14"/>
  <c r="F20" i="14"/>
  <c r="F26" i="14"/>
  <c r="F34" i="14"/>
  <c r="F40" i="14"/>
  <c r="F46" i="14"/>
  <c r="F54" i="14"/>
  <c r="F60" i="14"/>
  <c r="F66" i="14"/>
  <c r="F76" i="14"/>
  <c r="F84" i="14"/>
  <c r="F104" i="14"/>
  <c r="G13" i="14"/>
  <c r="F13" i="14"/>
  <c r="F15" i="14"/>
  <c r="F17" i="14"/>
  <c r="F19" i="14"/>
  <c r="F21" i="14"/>
  <c r="F23" i="14"/>
  <c r="F25" i="14"/>
  <c r="F27" i="14"/>
  <c r="F29" i="14"/>
  <c r="F31" i="14"/>
  <c r="F33" i="14"/>
  <c r="F35" i="14"/>
  <c r="F37" i="14"/>
  <c r="F39" i="14"/>
  <c r="F41" i="14"/>
  <c r="F43" i="14"/>
  <c r="F45" i="14"/>
  <c r="F47" i="14"/>
  <c r="F49" i="14"/>
  <c r="F51" i="14"/>
  <c r="F53" i="14"/>
  <c r="F55" i="14"/>
  <c r="F57" i="14"/>
  <c r="F59" i="14"/>
  <c r="F61" i="14"/>
  <c r="F63" i="14"/>
  <c r="F65" i="14"/>
  <c r="F67" i="14"/>
  <c r="F69" i="14"/>
  <c r="F71" i="14"/>
  <c r="F73" i="14"/>
  <c r="F75" i="14"/>
  <c r="F77" i="14"/>
  <c r="F79" i="14"/>
  <c r="F81" i="14"/>
  <c r="F83" i="14"/>
  <c r="F85" i="14"/>
  <c r="F87" i="14"/>
  <c r="F89" i="14"/>
  <c r="F91" i="14"/>
  <c r="F93" i="14"/>
  <c r="F95" i="14"/>
  <c r="F97" i="14"/>
  <c r="F99" i="14"/>
  <c r="F101" i="14"/>
  <c r="F103" i="14"/>
  <c r="F105" i="14"/>
  <c r="F107" i="14"/>
  <c r="F109" i="14"/>
  <c r="F111" i="14"/>
  <c r="F113" i="14"/>
  <c r="F115" i="14"/>
  <c r="F117" i="14"/>
  <c r="F119" i="14"/>
  <c r="F121" i="14"/>
  <c r="F123" i="14"/>
  <c r="F125" i="14"/>
  <c r="F127" i="14"/>
  <c r="F129" i="14"/>
  <c r="F131" i="14"/>
  <c r="F133" i="14"/>
  <c r="F135" i="14"/>
  <c r="F137" i="14"/>
  <c r="F139" i="14"/>
  <c r="F141" i="14"/>
  <c r="F143" i="14"/>
  <c r="F145" i="14"/>
  <c r="F147" i="14"/>
  <c r="F149" i="14"/>
  <c r="F151" i="14"/>
  <c r="F153" i="14"/>
  <c r="F155" i="14"/>
  <c r="F157" i="14"/>
  <c r="F159" i="14"/>
  <c r="F161" i="14"/>
  <c r="F163" i="14"/>
  <c r="F165" i="14"/>
  <c r="F167" i="14"/>
  <c r="F169" i="14"/>
  <c r="F171" i="14"/>
  <c r="F173" i="14"/>
  <c r="F175" i="14"/>
  <c r="F177" i="14"/>
  <c r="F179" i="14"/>
  <c r="F181" i="14"/>
  <c r="F183" i="14"/>
  <c r="F185" i="14"/>
  <c r="F187" i="14"/>
  <c r="F189" i="14"/>
  <c r="F191" i="14"/>
  <c r="F193" i="14"/>
  <c r="F195" i="14"/>
  <c r="F197" i="14"/>
  <c r="F199" i="14"/>
  <c r="F201" i="14"/>
  <c r="F203" i="14"/>
  <c r="F205" i="14"/>
  <c r="F207" i="14"/>
  <c r="F209" i="14"/>
  <c r="F211" i="14"/>
  <c r="F213" i="14"/>
  <c r="F215" i="14"/>
  <c r="F217" i="14"/>
  <c r="F219" i="14"/>
  <c r="F221" i="14"/>
  <c r="F223" i="14"/>
  <c r="F225" i="14"/>
  <c r="F227" i="14"/>
  <c r="F229" i="14"/>
  <c r="F231" i="14"/>
  <c r="F233" i="14"/>
  <c r="F235" i="14"/>
  <c r="F237" i="14"/>
  <c r="F239" i="14"/>
  <c r="F241" i="14"/>
  <c r="F243" i="14"/>
  <c r="F245" i="14"/>
  <c r="F247" i="14"/>
  <c r="G168" i="14"/>
  <c r="G170" i="14"/>
  <c r="G172" i="14"/>
  <c r="G174" i="14"/>
  <c r="G176" i="14"/>
  <c r="G178" i="14"/>
  <c r="G180" i="14"/>
  <c r="G182" i="14"/>
  <c r="G184" i="14"/>
  <c r="G186" i="14"/>
  <c r="G188" i="14"/>
  <c r="G190" i="14"/>
  <c r="G192" i="14"/>
  <c r="G194" i="14"/>
  <c r="G196" i="14"/>
  <c r="G198" i="14"/>
  <c r="G200" i="14"/>
  <c r="G202" i="14"/>
  <c r="G204" i="14"/>
  <c r="G206" i="14"/>
  <c r="G208" i="14"/>
  <c r="G210" i="14"/>
  <c r="G212" i="14"/>
  <c r="G214" i="14"/>
  <c r="G216" i="14"/>
  <c r="G218" i="14"/>
  <c r="G220" i="14"/>
  <c r="G222" i="14"/>
  <c r="G224" i="14"/>
  <c r="G240" i="14"/>
  <c r="G242" i="14"/>
  <c r="G244" i="14"/>
  <c r="G246" i="14"/>
  <c r="I12" i="10"/>
  <c r="I13" i="10"/>
  <c r="J13" i="10" s="1"/>
  <c r="I16" i="10"/>
  <c r="J16" i="10" s="1"/>
  <c r="G247" i="14"/>
  <c r="G241" i="14"/>
  <c r="G11" i="14"/>
  <c r="G17" i="14"/>
  <c r="G19" i="14"/>
  <c r="G21" i="14"/>
  <c r="G23" i="14"/>
  <c r="G25" i="14"/>
  <c r="G27" i="14"/>
  <c r="G29" i="14"/>
  <c r="G31" i="14"/>
  <c r="G33" i="14"/>
  <c r="G35" i="14"/>
  <c r="G37" i="14"/>
  <c r="G39" i="14"/>
  <c r="G41" i="14"/>
  <c r="G43" i="14"/>
  <c r="G45" i="14"/>
  <c r="G47" i="14"/>
  <c r="G49" i="14"/>
  <c r="G51" i="14"/>
  <c r="G53" i="14"/>
  <c r="G55" i="14"/>
  <c r="G57" i="14"/>
  <c r="G59" i="14"/>
  <c r="G61" i="14"/>
  <c r="G63" i="14"/>
  <c r="G65" i="14"/>
  <c r="G67" i="14"/>
  <c r="G69" i="14"/>
  <c r="G71" i="14"/>
  <c r="G243" i="14"/>
  <c r="G226" i="14"/>
  <c r="G228" i="14"/>
  <c r="G230" i="14"/>
  <c r="G232" i="14"/>
  <c r="G234" i="14"/>
  <c r="G236" i="14"/>
  <c r="G238" i="14"/>
  <c r="G249" i="14"/>
  <c r="G73" i="14"/>
  <c r="G75" i="14"/>
  <c r="G77" i="14"/>
  <c r="G79" i="14"/>
  <c r="G81" i="14"/>
  <c r="G83" i="14"/>
  <c r="G85" i="14"/>
  <c r="G87" i="14"/>
  <c r="G89" i="14"/>
  <c r="G91" i="14"/>
  <c r="G93" i="14"/>
  <c r="G95" i="14"/>
  <c r="G97" i="14"/>
  <c r="G99" i="14"/>
  <c r="G101" i="14"/>
  <c r="G103" i="14"/>
  <c r="G105" i="14"/>
  <c r="G107" i="14"/>
  <c r="G109" i="14"/>
  <c r="G111" i="14"/>
  <c r="G113" i="14"/>
  <c r="G115" i="14"/>
  <c r="G117" i="14"/>
  <c r="G119" i="14"/>
  <c r="G121" i="14"/>
  <c r="G123" i="14"/>
  <c r="G125" i="14"/>
  <c r="G127" i="14"/>
  <c r="G129" i="14"/>
  <c r="G131" i="14"/>
  <c r="G133" i="14"/>
  <c r="G135" i="14"/>
  <c r="G137" i="14"/>
  <c r="G139" i="14"/>
  <c r="G141" i="14"/>
  <c r="G143" i="14"/>
  <c r="G145" i="14"/>
  <c r="G147" i="14"/>
  <c r="G149" i="14"/>
  <c r="G151" i="14"/>
  <c r="G153" i="14"/>
  <c r="G155" i="14"/>
  <c r="G157" i="14"/>
  <c r="G159" i="14"/>
  <c r="G161" i="14"/>
  <c r="G163" i="14"/>
  <c r="G165" i="14"/>
  <c r="G167" i="14"/>
  <c r="G169" i="14"/>
  <c r="G171" i="14"/>
  <c r="G173" i="14"/>
  <c r="G175" i="14"/>
  <c r="G177" i="14"/>
  <c r="G179" i="14"/>
  <c r="G181" i="14"/>
  <c r="G183" i="14"/>
  <c r="G185" i="14"/>
  <c r="G187" i="14"/>
  <c r="G189" i="14"/>
  <c r="G191" i="14"/>
  <c r="G193" i="14"/>
  <c r="G195" i="14"/>
  <c r="G197" i="14"/>
  <c r="G199" i="14"/>
  <c r="G201" i="14"/>
  <c r="G203" i="14"/>
  <c r="G205" i="14"/>
  <c r="G207" i="14"/>
  <c r="G209" i="14"/>
  <c r="G211" i="14"/>
  <c r="G213" i="14"/>
  <c r="G215" i="14"/>
  <c r="G217" i="14"/>
  <c r="G219" i="14"/>
  <c r="G221" i="14"/>
  <c r="G223" i="14"/>
  <c r="G225" i="14"/>
  <c r="G227" i="14"/>
  <c r="G229" i="14"/>
  <c r="G231" i="14"/>
  <c r="G233" i="14"/>
  <c r="G235" i="14"/>
  <c r="G237" i="14"/>
  <c r="G72" i="14"/>
  <c r="G76" i="14"/>
  <c r="G80" i="14"/>
  <c r="G84" i="14"/>
  <c r="G88" i="14"/>
  <c r="G92" i="14"/>
  <c r="G96" i="14"/>
  <c r="G100" i="14"/>
  <c r="G104" i="14"/>
  <c r="G108" i="14"/>
  <c r="G112" i="14"/>
  <c r="G116" i="14"/>
  <c r="G120" i="14"/>
  <c r="G124" i="14"/>
  <c r="G128" i="14"/>
  <c r="G132" i="14"/>
  <c r="K44" i="13"/>
  <c r="G26" i="13"/>
  <c r="F27" i="13" s="1"/>
  <c r="I27" i="13" s="1" a="1"/>
  <c r="I27" i="13" s="1"/>
  <c r="G47" i="13"/>
  <c r="F48" i="13" s="1"/>
  <c r="I47" i="13" a="1"/>
  <c r="I47" i="13" s="1"/>
  <c r="K25" i="13"/>
  <c r="G27" i="13"/>
  <c r="F28" i="13" s="1"/>
  <c r="I45" i="13" a="1"/>
  <c r="I45" i="13" s="1"/>
  <c r="H45" i="13"/>
  <c r="I46" i="13" a="1"/>
  <c r="I46" i="13" s="1"/>
  <c r="H46" i="13"/>
  <c r="K6" i="13"/>
  <c r="H26" i="13"/>
  <c r="G7" i="13"/>
  <c r="H7" i="13" s="1"/>
  <c r="I17" i="10"/>
  <c r="E16" i="25"/>
  <c r="B17" i="25"/>
  <c r="E17" i="25" s="1"/>
  <c r="D16" i="25"/>
  <c r="C16" i="25"/>
  <c r="F14" i="10"/>
  <c r="F12" i="10"/>
  <c r="F11" i="10"/>
  <c r="B12" i="10"/>
  <c r="B13" i="10" s="1"/>
  <c r="C11" i="10"/>
  <c r="D11" i="10"/>
  <c r="F16" i="10"/>
  <c r="G16" i="10" s="1"/>
  <c r="F17" i="10"/>
  <c r="F15" i="10"/>
  <c r="B14" i="10" l="1"/>
  <c r="B15" i="10" s="1"/>
  <c r="B16" i="10" s="1"/>
  <c r="B17" i="10" s="1"/>
  <c r="B18" i="10" s="1"/>
  <c r="B19" i="10" s="1"/>
  <c r="B20" i="10" s="1"/>
  <c r="B21" i="10" s="1"/>
  <c r="B22" i="10" s="1"/>
  <c r="B23" i="10" s="1"/>
  <c r="B24" i="10" s="1"/>
  <c r="B25" i="10" s="1"/>
  <c r="B26" i="10" s="1"/>
  <c r="B27" i="10" s="1"/>
  <c r="B28" i="10" s="1"/>
  <c r="B29" i="10" s="1"/>
  <c r="B30" i="10" s="1"/>
  <c r="B31" i="10" s="1"/>
  <c r="B32" i="10" s="1"/>
  <c r="B33" i="10" s="1"/>
  <c r="B34" i="10" s="1"/>
  <c r="B35" i="10" s="1"/>
  <c r="B36" i="10" s="1"/>
  <c r="B37" i="10" s="1"/>
  <c r="B38" i="10" s="1"/>
  <c r="B39" i="10" s="1"/>
  <c r="B40" i="10" s="1"/>
  <c r="B41" i="10" s="1"/>
  <c r="B42" i="10" s="1"/>
  <c r="B43" i="10" s="1"/>
  <c r="B44" i="10" s="1"/>
  <c r="B45" i="10" s="1"/>
  <c r="B46" i="10" s="1"/>
  <c r="B47" i="10" s="1"/>
  <c r="B48" i="10" s="1"/>
  <c r="B49" i="10" s="1"/>
  <c r="B50" i="10" s="1"/>
  <c r="B51" i="10" s="1"/>
  <c r="B52" i="10" s="1"/>
  <c r="B53" i="10" s="1"/>
  <c r="B54" i="10" s="1"/>
  <c r="B55" i="10" s="1"/>
  <c r="B56" i="10" s="1"/>
  <c r="B57" i="10" s="1"/>
  <c r="B58" i="10" s="1"/>
  <c r="B59" i="10" s="1"/>
  <c r="B60" i="10" s="1"/>
  <c r="B61" i="10" s="1"/>
  <c r="B62" i="10" s="1"/>
  <c r="B63" i="10" s="1"/>
  <c r="B64" i="10" s="1"/>
  <c r="B65" i="10" s="1"/>
  <c r="B66" i="10" s="1"/>
  <c r="B67" i="10" s="1"/>
  <c r="B68" i="10" s="1"/>
  <c r="B69" i="10" s="1"/>
  <c r="B70" i="10" s="1"/>
  <c r="B71" i="10" s="1"/>
  <c r="B72" i="10" s="1"/>
  <c r="B73" i="10" s="1"/>
  <c r="B74" i="10" s="1"/>
  <c r="B75" i="10" s="1"/>
  <c r="B76" i="10" s="1"/>
  <c r="B77" i="10" s="1"/>
  <c r="B78" i="10" s="1"/>
  <c r="B79" i="10" s="1"/>
  <c r="B80" i="10" s="1"/>
  <c r="B81" i="10" s="1"/>
  <c r="B82" i="10" s="1"/>
  <c r="B83" i="10" s="1"/>
  <c r="B84" i="10" s="1"/>
  <c r="B85" i="10" s="1"/>
  <c r="B86" i="10" s="1"/>
  <c r="B87" i="10" s="1"/>
  <c r="B88" i="10" s="1"/>
  <c r="B89" i="10" s="1"/>
  <c r="B90" i="10" s="1"/>
  <c r="B91" i="10" s="1"/>
  <c r="B92" i="10" s="1"/>
  <c r="B93" i="10" s="1"/>
  <c r="B94" i="10" s="1"/>
  <c r="B95" i="10" s="1"/>
  <c r="B96" i="10" s="1"/>
  <c r="B97" i="10" s="1"/>
  <c r="B98" i="10" s="1"/>
  <c r="B99" i="10" s="1"/>
  <c r="B100" i="10" s="1"/>
  <c r="B101" i="10" s="1"/>
  <c r="B102" i="10" s="1"/>
  <c r="B103" i="10" s="1"/>
  <c r="B104" i="10" s="1"/>
  <c r="B105" i="10" s="1"/>
  <c r="B106" i="10" s="1"/>
  <c r="B107" i="10" s="1"/>
  <c r="B108" i="10" s="1"/>
  <c r="B109" i="10" s="1"/>
  <c r="B110" i="10" s="1"/>
  <c r="B111" i="10" s="1"/>
  <c r="B112" i="10" s="1"/>
  <c r="B113" i="10" s="1"/>
  <c r="B114" i="10" s="1"/>
  <c r="B115" i="10" s="1"/>
  <c r="B116" i="10" s="1"/>
  <c r="B117" i="10" s="1"/>
  <c r="B118" i="10" s="1"/>
  <c r="B119" i="10" s="1"/>
  <c r="B120" i="10" s="1"/>
  <c r="B121" i="10" s="1"/>
  <c r="B122" i="10" s="1"/>
  <c r="B123" i="10" s="1"/>
  <c r="B124" i="10" s="1"/>
  <c r="B125" i="10" s="1"/>
  <c r="B126" i="10" s="1"/>
  <c r="B127" i="10" s="1"/>
  <c r="B128" i="10" s="1"/>
  <c r="B129" i="10" s="1"/>
  <c r="B130" i="10" s="1"/>
  <c r="B131" i="10" s="1"/>
  <c r="B132" i="10" s="1"/>
  <c r="B133" i="10" s="1"/>
  <c r="B134" i="10" s="1"/>
  <c r="B135" i="10" s="1"/>
  <c r="B136" i="10" s="1"/>
  <c r="B137" i="10" s="1"/>
  <c r="B138" i="10" s="1"/>
  <c r="B139" i="10" s="1"/>
  <c r="B140" i="10" s="1"/>
  <c r="B141" i="10" s="1"/>
  <c r="B142" i="10" s="1"/>
  <c r="B143" i="10" s="1"/>
  <c r="B144" i="10" s="1"/>
  <c r="B145" i="10" s="1"/>
  <c r="B146" i="10" s="1"/>
  <c r="B147" i="10" s="1"/>
  <c r="B148" i="10" s="1"/>
  <c r="B149" i="10" s="1"/>
  <c r="B150" i="10" s="1"/>
  <c r="B151" i="10" s="1"/>
  <c r="B152" i="10" s="1"/>
  <c r="B153" i="10" s="1"/>
  <c r="B154" i="10" s="1"/>
  <c r="B155" i="10" s="1"/>
  <c r="B156" i="10" s="1"/>
  <c r="B157" i="10" s="1"/>
  <c r="B158" i="10" s="1"/>
  <c r="B159" i="10" s="1"/>
  <c r="B160" i="10" s="1"/>
  <c r="B161" i="10" s="1"/>
  <c r="B162" i="10" s="1"/>
  <c r="B163" i="10" s="1"/>
  <c r="B164" i="10" s="1"/>
  <c r="B165" i="10" s="1"/>
  <c r="B166" i="10" s="1"/>
  <c r="B167" i="10" s="1"/>
  <c r="B168" i="10" s="1"/>
  <c r="B169" i="10" s="1"/>
  <c r="B170" i="10" s="1"/>
  <c r="B171" i="10" s="1"/>
  <c r="B172" i="10" s="1"/>
  <c r="B173" i="10" s="1"/>
  <c r="B174" i="10" s="1"/>
  <c r="B175" i="10" s="1"/>
  <c r="B176" i="10" s="1"/>
  <c r="B177" i="10" s="1"/>
  <c r="B178" i="10" s="1"/>
  <c r="B179" i="10" s="1"/>
  <c r="B180" i="10" s="1"/>
  <c r="B181" i="10" s="1"/>
  <c r="B182" i="10" s="1"/>
  <c r="B183" i="10" s="1"/>
  <c r="B184" i="10" s="1"/>
  <c r="B185" i="10" s="1"/>
  <c r="B186" i="10" s="1"/>
  <c r="B187" i="10" s="1"/>
  <c r="B188" i="10" s="1"/>
  <c r="B189" i="10" s="1"/>
  <c r="B190" i="10" s="1"/>
  <c r="B191" i="10" s="1"/>
  <c r="B192" i="10" s="1"/>
  <c r="B193" i="10" s="1"/>
  <c r="B194" i="10" s="1"/>
  <c r="B195" i="10" s="1"/>
  <c r="B196" i="10" s="1"/>
  <c r="B197" i="10" s="1"/>
  <c r="B198" i="10" s="1"/>
  <c r="B199" i="10" s="1"/>
  <c r="B200" i="10" s="1"/>
  <c r="B201" i="10" s="1"/>
  <c r="B202" i="10" s="1"/>
  <c r="B203" i="10" s="1"/>
  <c r="B204" i="10" s="1"/>
  <c r="B205" i="10" s="1"/>
  <c r="B206" i="10" s="1"/>
  <c r="B207" i="10" s="1"/>
  <c r="B208" i="10" s="1"/>
  <c r="B209" i="10" s="1"/>
  <c r="B210" i="10" s="1"/>
  <c r="C13" i="10"/>
  <c r="K10" i="14"/>
  <c r="K13" i="14"/>
  <c r="K14" i="14" s="1" a="1"/>
  <c r="K14" i="14" s="1"/>
  <c r="I19" i="14"/>
  <c r="K12" i="14"/>
  <c r="K11" i="14" a="1"/>
  <c r="K11" i="14" s="1"/>
  <c r="I26" i="13" a="1"/>
  <c r="I26" i="13" s="1"/>
  <c r="F8" i="13"/>
  <c r="I7" i="13" a="1"/>
  <c r="I7" i="13" s="1"/>
  <c r="H27" i="13"/>
  <c r="K26" i="13"/>
  <c r="K46" i="13"/>
  <c r="K45" i="13"/>
  <c r="G28" i="13"/>
  <c r="F29" i="13" s="1"/>
  <c r="I28" i="13" a="1"/>
  <c r="I28" i="13" s="1"/>
  <c r="H47" i="13"/>
  <c r="K7" i="13"/>
  <c r="G48" i="13"/>
  <c r="F49" i="13" s="1"/>
  <c r="I48" i="13" a="1"/>
  <c r="I48" i="13" s="1"/>
  <c r="B18" i="25"/>
  <c r="D18" i="25" s="1"/>
  <c r="C17" i="25"/>
  <c r="E215" i="25"/>
  <c r="E15" i="25"/>
  <c r="D17" i="25"/>
  <c r="C12" i="10"/>
  <c r="D12" i="10"/>
  <c r="J19" i="14" l="1"/>
  <c r="L19" i="14"/>
  <c r="B19" i="25"/>
  <c r="D19" i="25" s="1"/>
  <c r="K19" i="14"/>
  <c r="I18" i="14"/>
  <c r="M19" i="14"/>
  <c r="I8" i="13" a="1"/>
  <c r="I8" i="13" s="1"/>
  <c r="H28" i="13"/>
  <c r="I29" i="13" a="1"/>
  <c r="I29" i="13" s="1"/>
  <c r="G29" i="13"/>
  <c r="F30" i="13" s="1"/>
  <c r="K27" i="13"/>
  <c r="K28" i="13"/>
  <c r="K47" i="13"/>
  <c r="G8" i="13"/>
  <c r="F9" i="13" s="1"/>
  <c r="G49" i="13"/>
  <c r="F50" i="13" s="1"/>
  <c r="H48" i="13"/>
  <c r="C18" i="25"/>
  <c r="E18" i="25"/>
  <c r="B20" i="25"/>
  <c r="D13" i="10"/>
  <c r="C19" i="25" l="1"/>
  <c r="E19" i="25"/>
  <c r="J18" i="14"/>
  <c r="L18" i="14"/>
  <c r="M18" i="14"/>
  <c r="K18" i="14"/>
  <c r="H8" i="13"/>
  <c r="I49" i="13" a="1"/>
  <c r="I49" i="13" s="1"/>
  <c r="H29" i="13"/>
  <c r="K48" i="13"/>
  <c r="K8" i="13"/>
  <c r="G50" i="13"/>
  <c r="F51" i="13" s="1"/>
  <c r="H49" i="13"/>
  <c r="G9" i="13"/>
  <c r="F10" i="13" s="1"/>
  <c r="I30" i="13" a="1"/>
  <c r="I30" i="13" s="1"/>
  <c r="G30" i="13"/>
  <c r="F31" i="13" s="1"/>
  <c r="E20" i="25"/>
  <c r="D20" i="25"/>
  <c r="B21" i="25"/>
  <c r="C20" i="25"/>
  <c r="C14" i="10"/>
  <c r="D14" i="10"/>
  <c r="H9" i="13" l="1"/>
  <c r="I9" i="13" a="1"/>
  <c r="I9" i="13" s="1"/>
  <c r="H30" i="13"/>
  <c r="K30" i="13" s="1"/>
  <c r="G31" i="13"/>
  <c r="F32" i="13" s="1"/>
  <c r="I31" i="13" a="1"/>
  <c r="I31" i="13" s="1"/>
  <c r="G10" i="13"/>
  <c r="F11" i="13" s="1"/>
  <c r="H50" i="13"/>
  <c r="K9" i="13"/>
  <c r="I50" i="13" a="1"/>
  <c r="I50" i="13" s="1"/>
  <c r="K49" i="13"/>
  <c r="K29" i="13"/>
  <c r="G51" i="13"/>
  <c r="F52" i="13" s="1"/>
  <c r="E21" i="25"/>
  <c r="D21" i="25"/>
  <c r="C21" i="25"/>
  <c r="B22" i="25"/>
  <c r="D15" i="10"/>
  <c r="C15" i="10"/>
  <c r="H51" i="13" l="1"/>
  <c r="K51" i="13" s="1"/>
  <c r="I51" i="13" a="1"/>
  <c r="I51" i="13" s="1"/>
  <c r="I10" i="13" a="1"/>
  <c r="I10" i="13" s="1"/>
  <c r="G52" i="13"/>
  <c r="F53" i="13" s="1"/>
  <c r="K50" i="13"/>
  <c r="H31" i="13"/>
  <c r="I11" i="13" a="1"/>
  <c r="I11" i="13" s="1"/>
  <c r="G11" i="13"/>
  <c r="F12" i="13" s="1"/>
  <c r="H10" i="13"/>
  <c r="G32" i="13"/>
  <c r="F33" i="13" s="1"/>
  <c r="I32" i="13" a="1"/>
  <c r="I32" i="13" s="1"/>
  <c r="E22" i="25"/>
  <c r="D22" i="25"/>
  <c r="B23" i="25"/>
  <c r="C22" i="25"/>
  <c r="D16" i="10"/>
  <c r="C16" i="10"/>
  <c r="H32" i="13" l="1"/>
  <c r="K32" i="13" s="1"/>
  <c r="G12" i="13"/>
  <c r="F13" i="13" s="1"/>
  <c r="I12" i="13" a="1"/>
  <c r="I12" i="13" s="1"/>
  <c r="H52" i="13"/>
  <c r="I33" i="13" a="1"/>
  <c r="I33" i="13" s="1"/>
  <c r="G33" i="13"/>
  <c r="F34" i="13" s="1"/>
  <c r="H11" i="13"/>
  <c r="I52" i="13" a="1"/>
  <c r="I52" i="13" s="1"/>
  <c r="K10" i="13"/>
  <c r="K31" i="13"/>
  <c r="G53" i="13"/>
  <c r="F54" i="13" s="1"/>
  <c r="E23" i="25"/>
  <c r="D23" i="25"/>
  <c r="C23" i="25"/>
  <c r="B24" i="25"/>
  <c r="D17" i="10"/>
  <c r="C17" i="10"/>
  <c r="H33" i="13" l="1"/>
  <c r="I53" i="13" a="1"/>
  <c r="I53" i="13" s="1"/>
  <c r="K11" i="13"/>
  <c r="K52" i="13"/>
  <c r="G34" i="13"/>
  <c r="F35" i="13" s="1"/>
  <c r="H12" i="13"/>
  <c r="I54" i="13" a="1"/>
  <c r="I54" i="13" s="1"/>
  <c r="G54" i="13"/>
  <c r="F55" i="13" s="1"/>
  <c r="K33" i="13"/>
  <c r="H53" i="13"/>
  <c r="G13" i="13"/>
  <c r="F14" i="13" s="1"/>
  <c r="E24" i="25"/>
  <c r="D24" i="25"/>
  <c r="B25" i="25"/>
  <c r="C24" i="25"/>
  <c r="D18" i="10"/>
  <c r="C18" i="10"/>
  <c r="I13" i="13" l="1" a="1"/>
  <c r="I13" i="13" s="1"/>
  <c r="I34" i="13" a="1"/>
  <c r="I34" i="13" s="1"/>
  <c r="H34" i="13"/>
  <c r="H13" i="13"/>
  <c r="H54" i="13"/>
  <c r="K54" i="13" s="1"/>
  <c r="K13" i="13"/>
  <c r="K34" i="13"/>
  <c r="G14" i="13"/>
  <c r="F15" i="13" s="1"/>
  <c r="K53" i="13"/>
  <c r="G55" i="13"/>
  <c r="F56" i="13" s="1"/>
  <c r="I55" i="13" a="1"/>
  <c r="I55" i="13" s="1"/>
  <c r="G35" i="13"/>
  <c r="F36" i="13" s="1"/>
  <c r="I35" i="13" a="1"/>
  <c r="I35" i="13" s="1"/>
  <c r="K12" i="13"/>
  <c r="E25" i="25"/>
  <c r="C25" i="25"/>
  <c r="D25" i="25"/>
  <c r="B26" i="25"/>
  <c r="D19" i="10"/>
  <c r="C19" i="10"/>
  <c r="I14" i="13" l="1" a="1"/>
  <c r="I14" i="13" s="1"/>
  <c r="H55" i="13"/>
  <c r="K55" i="13"/>
  <c r="G15" i="13"/>
  <c r="F16" i="13" s="1"/>
  <c r="H35" i="13"/>
  <c r="G56" i="13"/>
  <c r="F57" i="13" s="1"/>
  <c r="I56" i="13" a="1"/>
  <c r="I56" i="13" s="1"/>
  <c r="H14" i="13"/>
  <c r="G36" i="13"/>
  <c r="F37" i="13" s="1"/>
  <c r="I36" i="13" a="1"/>
  <c r="I36" i="13" s="1"/>
  <c r="E26" i="25"/>
  <c r="C26" i="25"/>
  <c r="B27" i="25"/>
  <c r="D26" i="25"/>
  <c r="D20" i="10"/>
  <c r="C20" i="10"/>
  <c r="I15" i="13" l="1" a="1"/>
  <c r="I15" i="13" s="1"/>
  <c r="H36" i="13"/>
  <c r="H56" i="13"/>
  <c r="G16" i="13"/>
  <c r="F17" i="13" s="1"/>
  <c r="I16" i="13" a="1"/>
  <c r="I16" i="13" s="1"/>
  <c r="I37" i="13" a="1"/>
  <c r="I37" i="13" s="1"/>
  <c r="G37" i="13"/>
  <c r="F38" i="13" s="1"/>
  <c r="G57" i="13"/>
  <c r="F58" i="13" s="1"/>
  <c r="H15" i="13"/>
  <c r="K36" i="13"/>
  <c r="K56" i="13"/>
  <c r="K14" i="13"/>
  <c r="K35" i="13"/>
  <c r="E27" i="25"/>
  <c r="C27" i="25"/>
  <c r="B28" i="25"/>
  <c r="D27" i="25"/>
  <c r="D21" i="10"/>
  <c r="C21" i="10"/>
  <c r="I57" i="13" l="1" a="1"/>
  <c r="I57" i="13" s="1"/>
  <c r="H57" i="13"/>
  <c r="H16" i="13"/>
  <c r="K57" i="13"/>
  <c r="K15" i="13"/>
  <c r="I38" i="13" a="1"/>
  <c r="I38" i="13" s="1"/>
  <c r="G38" i="13"/>
  <c r="H38" i="13" s="1"/>
  <c r="G58" i="13"/>
  <c r="H58" i="13" s="1"/>
  <c r="H37" i="13"/>
  <c r="G17" i="13"/>
  <c r="F18" i="13" s="1"/>
  <c r="I17" i="13" a="1"/>
  <c r="I17" i="13" s="1"/>
  <c r="E28" i="25"/>
  <c r="C28" i="25"/>
  <c r="D28" i="25"/>
  <c r="B29" i="25"/>
  <c r="C22" i="10"/>
  <c r="D22" i="10"/>
  <c r="I58" i="13" l="1" a="1"/>
  <c r="I58" i="13" s="1"/>
  <c r="K38" i="13"/>
  <c r="K16" i="13"/>
  <c r="K37" i="13"/>
  <c r="I18" i="13" a="1"/>
  <c r="I18" i="13" s="1"/>
  <c r="G18" i="13"/>
  <c r="F19" i="13" s="1"/>
  <c r="K58" i="13"/>
  <c r="J42" i="13" s="1"/>
  <c r="J44" i="13" s="1"/>
  <c r="H17" i="13"/>
  <c r="E29" i="25"/>
  <c r="C29" i="25"/>
  <c r="D29" i="25"/>
  <c r="B30" i="25"/>
  <c r="D23" i="10"/>
  <c r="C23" i="10"/>
  <c r="J52" i="13" l="1"/>
  <c r="J48" i="13"/>
  <c r="J54" i="13"/>
  <c r="J53" i="13"/>
  <c r="J45" i="13"/>
  <c r="J49" i="13"/>
  <c r="J46" i="13"/>
  <c r="J51" i="13"/>
  <c r="J47" i="13"/>
  <c r="J50" i="13"/>
  <c r="J55" i="13"/>
  <c r="J56" i="13"/>
  <c r="J57" i="13"/>
  <c r="J58" i="13"/>
  <c r="I19" i="13" a="1"/>
  <c r="I19" i="13" s="1"/>
  <c r="G19" i="13"/>
  <c r="H19" i="13" s="1"/>
  <c r="J23" i="13"/>
  <c r="K17" i="13"/>
  <c r="H18" i="13"/>
  <c r="E30" i="25"/>
  <c r="C30" i="25"/>
  <c r="D30" i="25"/>
  <c r="B31" i="25"/>
  <c r="C24" i="10"/>
  <c r="D24" i="10"/>
  <c r="K19" i="13" l="1"/>
  <c r="J4" i="13" s="1"/>
  <c r="J32" i="13"/>
  <c r="J31" i="13"/>
  <c r="J26" i="13"/>
  <c r="J29" i="13"/>
  <c r="J28" i="13"/>
  <c r="J25" i="13"/>
  <c r="J30" i="13"/>
  <c r="J33" i="13"/>
  <c r="J27" i="13"/>
  <c r="J34" i="13"/>
  <c r="J35" i="13"/>
  <c r="J36" i="13"/>
  <c r="J38" i="13"/>
  <c r="J37" i="13"/>
  <c r="K18" i="13"/>
  <c r="E31" i="25"/>
  <c r="C31" i="25"/>
  <c r="D31" i="25"/>
  <c r="B32" i="25"/>
  <c r="D25" i="10"/>
  <c r="C25" i="10"/>
  <c r="E32" i="25" l="1"/>
  <c r="C32" i="25"/>
  <c r="B33" i="25"/>
  <c r="D32" i="25"/>
  <c r="C26" i="10"/>
  <c r="D26" i="10"/>
  <c r="J13" i="13" l="1"/>
  <c r="J8" i="13"/>
  <c r="J11" i="13"/>
  <c r="J12" i="13"/>
  <c r="J9" i="13"/>
  <c r="J6" i="13"/>
  <c r="J10" i="13"/>
  <c r="J7" i="13"/>
  <c r="J14" i="13"/>
  <c r="J15" i="13"/>
  <c r="J16" i="13"/>
  <c r="J17" i="13"/>
  <c r="J19" i="13"/>
  <c r="J18" i="13"/>
  <c r="E33" i="25"/>
  <c r="C33" i="25"/>
  <c r="D33" i="25"/>
  <c r="B34" i="25"/>
  <c r="D27" i="10"/>
  <c r="C27" i="10"/>
  <c r="E34" i="25" l="1"/>
  <c r="C34" i="25"/>
  <c r="B35" i="25"/>
  <c r="D34" i="25"/>
  <c r="C28" i="10"/>
  <c r="D28" i="10"/>
  <c r="E35" i="25" l="1"/>
  <c r="C35" i="25"/>
  <c r="D35" i="25"/>
  <c r="B36" i="25"/>
  <c r="D29" i="10"/>
  <c r="C29" i="10"/>
  <c r="E36" i="25" l="1"/>
  <c r="C36" i="25"/>
  <c r="D36" i="25"/>
  <c r="B37" i="25"/>
  <c r="C30" i="10"/>
  <c r="D30" i="10"/>
  <c r="E37" i="25" l="1"/>
  <c r="C37" i="25"/>
  <c r="D37" i="25"/>
  <c r="B38" i="25"/>
  <c r="D31" i="10"/>
  <c r="C31" i="10"/>
  <c r="E38" i="25" l="1"/>
  <c r="C38" i="25"/>
  <c r="B39" i="25"/>
  <c r="D38" i="25"/>
  <c r="C32" i="10"/>
  <c r="D32" i="10"/>
  <c r="E39" i="25" l="1"/>
  <c r="C39" i="25"/>
  <c r="D39" i="25"/>
  <c r="B40" i="25"/>
  <c r="D33" i="10"/>
  <c r="C33" i="10"/>
  <c r="E40" i="25" l="1"/>
  <c r="C40" i="25"/>
  <c r="D40" i="25"/>
  <c r="B41" i="25"/>
  <c r="C34" i="10"/>
  <c r="D34" i="10"/>
  <c r="E41" i="25" l="1"/>
  <c r="C41" i="25"/>
  <c r="D41" i="25"/>
  <c r="B42" i="25"/>
  <c r="D35" i="10"/>
  <c r="C35" i="10"/>
  <c r="E42" i="25" l="1"/>
  <c r="C42" i="25"/>
  <c r="B43" i="25"/>
  <c r="D42" i="25"/>
  <c r="C36" i="10"/>
  <c r="D36" i="10"/>
  <c r="E43" i="25" l="1"/>
  <c r="C43" i="25"/>
  <c r="D43" i="25"/>
  <c r="B44" i="25"/>
  <c r="D37" i="10"/>
  <c r="C37" i="10"/>
  <c r="E44" i="25" l="1"/>
  <c r="C44" i="25"/>
  <c r="D44" i="25"/>
  <c r="B45" i="25"/>
  <c r="C38" i="10"/>
  <c r="D38" i="10"/>
  <c r="E45" i="25" l="1"/>
  <c r="C45" i="25"/>
  <c r="D45" i="25"/>
  <c r="B46" i="25"/>
  <c r="D39" i="10"/>
  <c r="C39" i="10"/>
  <c r="E46" i="25" l="1"/>
  <c r="C46" i="25"/>
  <c r="B47" i="25"/>
  <c r="D46" i="25"/>
  <c r="C40" i="10"/>
  <c r="D40" i="10"/>
  <c r="E47" i="25" l="1"/>
  <c r="C47" i="25"/>
  <c r="D47" i="25"/>
  <c r="B48" i="25"/>
  <c r="D41" i="10"/>
  <c r="C41" i="10"/>
  <c r="E48" i="25" l="1"/>
  <c r="C48" i="25"/>
  <c r="B49" i="25"/>
  <c r="D48" i="25"/>
  <c r="C42" i="10"/>
  <c r="D42" i="10"/>
  <c r="E49" i="25" l="1"/>
  <c r="C49" i="25"/>
  <c r="D49" i="25"/>
  <c r="B50" i="25"/>
  <c r="D43" i="10"/>
  <c r="C43" i="10"/>
  <c r="E50" i="25" l="1"/>
  <c r="C50" i="25"/>
  <c r="D50" i="25"/>
  <c r="B51" i="25"/>
  <c r="C44" i="10"/>
  <c r="D44" i="10"/>
  <c r="E51" i="25" l="1"/>
  <c r="C51" i="25"/>
  <c r="D51" i="25"/>
  <c r="B52" i="25"/>
  <c r="D45" i="10"/>
  <c r="C45" i="10"/>
  <c r="E52" i="25" l="1"/>
  <c r="C52" i="25"/>
  <c r="B53" i="25"/>
  <c r="D52" i="25"/>
  <c r="C46" i="10"/>
  <c r="D46" i="10"/>
  <c r="E53" i="25" l="1"/>
  <c r="C53" i="25"/>
  <c r="B54" i="25"/>
  <c r="D53" i="25"/>
  <c r="D47" i="10"/>
  <c r="C47" i="10"/>
  <c r="E54" i="25" l="1"/>
  <c r="C54" i="25"/>
  <c r="B55" i="25"/>
  <c r="D54" i="25"/>
  <c r="C48" i="10"/>
  <c r="D48" i="10"/>
  <c r="E55" i="25" l="1"/>
  <c r="C55" i="25"/>
  <c r="B56" i="25"/>
  <c r="D55" i="25"/>
  <c r="D49" i="10"/>
  <c r="C49" i="10"/>
  <c r="E56" i="25" l="1"/>
  <c r="C56" i="25"/>
  <c r="D56" i="25"/>
  <c r="B57" i="25"/>
  <c r="C50" i="10"/>
  <c r="D50" i="10"/>
  <c r="E57" i="25" l="1"/>
  <c r="C57" i="25"/>
  <c r="B58" i="25"/>
  <c r="D57" i="25"/>
  <c r="D51" i="10"/>
  <c r="C51" i="10"/>
  <c r="E58" i="25" l="1"/>
  <c r="C58" i="25"/>
  <c r="B59" i="25"/>
  <c r="D58" i="25"/>
  <c r="C52" i="10"/>
  <c r="D52" i="10"/>
  <c r="E59" i="25" l="1"/>
  <c r="C59" i="25"/>
  <c r="B60" i="25"/>
  <c r="D59" i="25"/>
  <c r="D53" i="10"/>
  <c r="C53" i="10"/>
  <c r="E60" i="25" l="1"/>
  <c r="C60" i="25"/>
  <c r="B61" i="25"/>
  <c r="D60" i="25"/>
  <c r="C54" i="10"/>
  <c r="D54" i="10"/>
  <c r="E61" i="25" l="1"/>
  <c r="C61" i="25"/>
  <c r="B62" i="25"/>
  <c r="D61" i="25"/>
  <c r="D55" i="10"/>
  <c r="C55" i="10"/>
  <c r="E62" i="25" l="1"/>
  <c r="C62" i="25"/>
  <c r="D62" i="25"/>
  <c r="B63" i="25"/>
  <c r="C56" i="10"/>
  <c r="D56" i="10"/>
  <c r="E63" i="25" l="1"/>
  <c r="C63" i="25"/>
  <c r="B64" i="25"/>
  <c r="D63" i="25"/>
  <c r="D57" i="10"/>
  <c r="C57" i="10"/>
  <c r="E64" i="25" l="1"/>
  <c r="C64" i="25"/>
  <c r="B65" i="25"/>
  <c r="D64" i="25"/>
  <c r="C58" i="10"/>
  <c r="D58" i="10"/>
  <c r="E65" i="25" l="1"/>
  <c r="C65" i="25"/>
  <c r="B66" i="25"/>
  <c r="D65" i="25"/>
  <c r="D59" i="10"/>
  <c r="C59" i="10"/>
  <c r="E66" i="25" l="1"/>
  <c r="C66" i="25"/>
  <c r="D66" i="25"/>
  <c r="B67" i="25"/>
  <c r="C60" i="10"/>
  <c r="D60" i="10"/>
  <c r="E67" i="25" l="1"/>
  <c r="C67" i="25"/>
  <c r="B68" i="25"/>
  <c r="D67" i="25"/>
  <c r="D61" i="10"/>
  <c r="C61" i="10"/>
  <c r="E68" i="25" l="1"/>
  <c r="C68" i="25"/>
  <c r="B69" i="25"/>
  <c r="D68" i="25"/>
  <c r="C62" i="10"/>
  <c r="D62" i="10"/>
  <c r="E69" i="25" l="1"/>
  <c r="C69" i="25"/>
  <c r="B70" i="25"/>
  <c r="D69" i="25"/>
  <c r="D63" i="10"/>
  <c r="C63" i="10"/>
  <c r="E70" i="25" l="1"/>
  <c r="C70" i="25"/>
  <c r="B71" i="25"/>
  <c r="D70" i="25"/>
  <c r="C64" i="10"/>
  <c r="D64" i="10"/>
  <c r="E71" i="25" l="1"/>
  <c r="C71" i="25"/>
  <c r="B72" i="25"/>
  <c r="D71" i="25"/>
  <c r="D65" i="10"/>
  <c r="C65" i="10"/>
  <c r="E72" i="25" l="1"/>
  <c r="C72" i="25"/>
  <c r="B73" i="25"/>
  <c r="D72" i="25"/>
  <c r="C66" i="10"/>
  <c r="D66" i="10"/>
  <c r="E73" i="25" l="1"/>
  <c r="C73" i="25"/>
  <c r="B74" i="25"/>
  <c r="D73" i="25"/>
  <c r="D67" i="10"/>
  <c r="C67" i="10"/>
  <c r="E74" i="25" l="1"/>
  <c r="B75" i="25"/>
  <c r="D74" i="25"/>
  <c r="C74" i="25"/>
  <c r="C68" i="10"/>
  <c r="D68" i="10"/>
  <c r="E75" i="25" l="1"/>
  <c r="B76" i="25"/>
  <c r="C75" i="25"/>
  <c r="D75" i="25"/>
  <c r="D69" i="10"/>
  <c r="C69" i="10"/>
  <c r="E76" i="25" l="1"/>
  <c r="B77" i="25"/>
  <c r="D76" i="25"/>
  <c r="C76" i="25"/>
  <c r="C70" i="10"/>
  <c r="D70" i="10"/>
  <c r="E77" i="25" l="1"/>
  <c r="B78" i="25"/>
  <c r="D77" i="25"/>
  <c r="C77" i="25"/>
  <c r="D71" i="10"/>
  <c r="C71" i="10"/>
  <c r="E78" i="25" l="1"/>
  <c r="B79" i="25"/>
  <c r="C78" i="25"/>
  <c r="D78" i="25"/>
  <c r="C72" i="10"/>
  <c r="D72" i="10"/>
  <c r="E79" i="25" l="1"/>
  <c r="B80" i="25"/>
  <c r="C79" i="25"/>
  <c r="D79" i="25"/>
  <c r="D73" i="10"/>
  <c r="C73" i="10"/>
  <c r="E80" i="25" l="1"/>
  <c r="B81" i="25"/>
  <c r="D80" i="25"/>
  <c r="C80" i="25"/>
  <c r="C74" i="10"/>
  <c r="D74" i="10"/>
  <c r="E81" i="25" l="1"/>
  <c r="B82" i="25"/>
  <c r="D81" i="25"/>
  <c r="C81" i="25"/>
  <c r="D75" i="10"/>
  <c r="C75" i="10"/>
  <c r="E82" i="25" l="1"/>
  <c r="B83" i="25"/>
  <c r="C82" i="25"/>
  <c r="D82" i="25"/>
  <c r="C76" i="10"/>
  <c r="D76" i="10"/>
  <c r="E83" i="25" l="1"/>
  <c r="B84" i="25"/>
  <c r="C83" i="25"/>
  <c r="D83" i="25"/>
  <c r="D77" i="10"/>
  <c r="C77" i="10"/>
  <c r="E84" i="25" l="1"/>
  <c r="B85" i="25"/>
  <c r="D84" i="25"/>
  <c r="C84" i="25"/>
  <c r="C78" i="10"/>
  <c r="D78" i="10"/>
  <c r="E85" i="25" l="1"/>
  <c r="B86" i="25"/>
  <c r="D85" i="25"/>
  <c r="C85" i="25"/>
  <c r="D79" i="10"/>
  <c r="C79" i="10"/>
  <c r="E86" i="25" l="1"/>
  <c r="B87" i="25"/>
  <c r="D86" i="25"/>
  <c r="C86" i="25"/>
  <c r="C80" i="10"/>
  <c r="D80" i="10"/>
  <c r="E87" i="25" l="1"/>
  <c r="B88" i="25"/>
  <c r="C87" i="25"/>
  <c r="D87" i="25"/>
  <c r="D81" i="10"/>
  <c r="C81" i="10"/>
  <c r="E88" i="25" l="1"/>
  <c r="B89" i="25"/>
  <c r="D88" i="25"/>
  <c r="C88" i="25"/>
  <c r="C82" i="10"/>
  <c r="D82" i="10"/>
  <c r="E89" i="25" l="1"/>
  <c r="B90" i="25"/>
  <c r="D89" i="25"/>
  <c r="C89" i="25"/>
  <c r="D83" i="10"/>
  <c r="C83" i="10"/>
  <c r="E90" i="25" l="1"/>
  <c r="B91" i="25"/>
  <c r="D90" i="25"/>
  <c r="C90" i="25"/>
  <c r="C84" i="10"/>
  <c r="D84" i="10"/>
  <c r="E91" i="25" l="1"/>
  <c r="B92" i="25"/>
  <c r="C91" i="25"/>
  <c r="D91" i="25"/>
  <c r="D85" i="10"/>
  <c r="C85" i="10"/>
  <c r="E92" i="25" l="1"/>
  <c r="B93" i="25"/>
  <c r="D92" i="25"/>
  <c r="C92" i="25"/>
  <c r="C86" i="10"/>
  <c r="D86" i="10"/>
  <c r="E93" i="25" l="1"/>
  <c r="B94" i="25"/>
  <c r="D93" i="25"/>
  <c r="C93" i="25"/>
  <c r="D87" i="10"/>
  <c r="C87" i="10"/>
  <c r="E94" i="25" l="1"/>
  <c r="B95" i="25"/>
  <c r="D94" i="25"/>
  <c r="C94" i="25"/>
  <c r="C88" i="10"/>
  <c r="D88" i="10"/>
  <c r="E95" i="25" l="1"/>
  <c r="B96" i="25"/>
  <c r="D95" i="25"/>
  <c r="C95" i="25"/>
  <c r="D89" i="10"/>
  <c r="C89" i="10"/>
  <c r="E96" i="25" l="1"/>
  <c r="B97" i="25"/>
  <c r="D96" i="25"/>
  <c r="C96" i="25"/>
  <c r="C90" i="10"/>
  <c r="D90" i="10"/>
  <c r="E97" i="25" l="1"/>
  <c r="B98" i="25"/>
  <c r="D97" i="25"/>
  <c r="C97" i="25"/>
  <c r="D91" i="10"/>
  <c r="C91" i="10"/>
  <c r="E98" i="25" l="1"/>
  <c r="B99" i="25"/>
  <c r="D98" i="25"/>
  <c r="C98" i="25"/>
  <c r="C92" i="10"/>
  <c r="D92" i="10"/>
  <c r="E99" i="25" l="1"/>
  <c r="B100" i="25"/>
  <c r="D99" i="25"/>
  <c r="C99" i="25"/>
  <c r="D93" i="10"/>
  <c r="C93" i="10"/>
  <c r="E100" i="25" l="1"/>
  <c r="B101" i="25"/>
  <c r="D100" i="25"/>
  <c r="C100" i="25"/>
  <c r="C94" i="10"/>
  <c r="D94" i="10"/>
  <c r="E101" i="25" l="1"/>
  <c r="B102" i="25"/>
  <c r="D101" i="25"/>
  <c r="C101" i="25"/>
  <c r="D95" i="10"/>
  <c r="C95" i="10"/>
  <c r="E102" i="25" l="1"/>
  <c r="B103" i="25"/>
  <c r="D102" i="25"/>
  <c r="C102" i="25"/>
  <c r="C96" i="10"/>
  <c r="D96" i="10"/>
  <c r="E103" i="25" l="1"/>
  <c r="B104" i="25"/>
  <c r="D103" i="25"/>
  <c r="C103" i="25"/>
  <c r="D97" i="10"/>
  <c r="C97" i="10"/>
  <c r="E104" i="25" l="1"/>
  <c r="B105" i="25"/>
  <c r="D104" i="25"/>
  <c r="C104" i="25"/>
  <c r="C98" i="10"/>
  <c r="D98" i="10"/>
  <c r="E105" i="25" l="1"/>
  <c r="B106" i="25"/>
  <c r="D105" i="25"/>
  <c r="C105" i="25"/>
  <c r="D99" i="10"/>
  <c r="C99" i="10"/>
  <c r="E106" i="25" l="1"/>
  <c r="B107" i="25"/>
  <c r="D106" i="25"/>
  <c r="C106" i="25"/>
  <c r="D100" i="10"/>
  <c r="C100" i="10"/>
  <c r="E107" i="25" l="1"/>
  <c r="B108" i="25"/>
  <c r="C107" i="25"/>
  <c r="D107" i="25"/>
  <c r="D101" i="10"/>
  <c r="C101" i="10"/>
  <c r="E108" i="25" l="1"/>
  <c r="B109" i="25"/>
  <c r="D108" i="25"/>
  <c r="C108" i="25"/>
  <c r="C102" i="10"/>
  <c r="D102" i="10"/>
  <c r="E109" i="25" l="1"/>
  <c r="B110" i="25"/>
  <c r="D109" i="25"/>
  <c r="C109" i="25"/>
  <c r="D103" i="10"/>
  <c r="C103" i="10"/>
  <c r="E110" i="25" l="1"/>
  <c r="B111" i="25"/>
  <c r="D110" i="25"/>
  <c r="C110" i="25"/>
  <c r="D104" i="10"/>
  <c r="C104" i="10"/>
  <c r="E111" i="25" l="1"/>
  <c r="B112" i="25"/>
  <c r="D111" i="25"/>
  <c r="C111" i="25"/>
  <c r="D105" i="10"/>
  <c r="C105" i="10"/>
  <c r="E112" i="25" l="1"/>
  <c r="B113" i="25"/>
  <c r="D112" i="25"/>
  <c r="C112" i="25"/>
  <c r="D106" i="10"/>
  <c r="C106" i="10"/>
  <c r="E113" i="25" l="1"/>
  <c r="B114" i="25"/>
  <c r="D113" i="25"/>
  <c r="C113" i="25"/>
  <c r="D107" i="10"/>
  <c r="C107" i="10"/>
  <c r="E114" i="25" l="1"/>
  <c r="B115" i="25"/>
  <c r="D114" i="25"/>
  <c r="C114" i="25"/>
  <c r="C108" i="10"/>
  <c r="D108" i="10"/>
  <c r="E115" i="25" l="1"/>
  <c r="B116" i="25"/>
  <c r="D115" i="25"/>
  <c r="C115" i="25"/>
  <c r="D109" i="10"/>
  <c r="C109" i="10"/>
  <c r="E116" i="25" l="1"/>
  <c r="B117" i="25"/>
  <c r="D116" i="25"/>
  <c r="C116" i="25"/>
  <c r="D110" i="10"/>
  <c r="C110" i="10"/>
  <c r="E117" i="25" l="1"/>
  <c r="B118" i="25"/>
  <c r="D117" i="25"/>
  <c r="C117" i="25"/>
  <c r="D111" i="10"/>
  <c r="C111" i="10"/>
  <c r="E118" i="25" l="1"/>
  <c r="B119" i="25"/>
  <c r="C118" i="25"/>
  <c r="D118" i="25"/>
  <c r="C112" i="10"/>
  <c r="D112" i="10"/>
  <c r="E119" i="25" l="1"/>
  <c r="B120" i="25"/>
  <c r="D119" i="25"/>
  <c r="C119" i="25"/>
  <c r="D113" i="10"/>
  <c r="C113" i="10"/>
  <c r="E120" i="25" l="1"/>
  <c r="B121" i="25"/>
  <c r="D120" i="25"/>
  <c r="C120" i="25"/>
  <c r="D114" i="10"/>
  <c r="C114" i="10"/>
  <c r="E121" i="25" l="1"/>
  <c r="B122" i="25"/>
  <c r="D121" i="25"/>
  <c r="C121" i="25"/>
  <c r="D115" i="10"/>
  <c r="C115" i="10"/>
  <c r="E122" i="25" l="1"/>
  <c r="B123" i="25"/>
  <c r="C122" i="25"/>
  <c r="D122" i="25"/>
  <c r="C116" i="10"/>
  <c r="D116" i="10"/>
  <c r="E123" i="25" l="1"/>
  <c r="B124" i="25"/>
  <c r="D123" i="25"/>
  <c r="C123" i="25"/>
  <c r="D117" i="10"/>
  <c r="C117" i="10"/>
  <c r="E124" i="25" l="1"/>
  <c r="B125" i="25"/>
  <c r="D124" i="25"/>
  <c r="C124" i="25"/>
  <c r="D118" i="10"/>
  <c r="C118" i="10"/>
  <c r="E125" i="25" l="1"/>
  <c r="B126" i="25"/>
  <c r="D125" i="25"/>
  <c r="C125" i="25"/>
  <c r="D119" i="10"/>
  <c r="C119" i="10"/>
  <c r="E126" i="25" l="1"/>
  <c r="B127" i="25"/>
  <c r="C126" i="25"/>
  <c r="D126" i="25"/>
  <c r="C120" i="10"/>
  <c r="D120" i="10"/>
  <c r="E127" i="25" l="1"/>
  <c r="B128" i="25"/>
  <c r="D127" i="25"/>
  <c r="C127" i="25"/>
  <c r="D121" i="10"/>
  <c r="C121" i="10"/>
  <c r="E128" i="25" l="1"/>
  <c r="C128" i="25"/>
  <c r="B129" i="25"/>
  <c r="D128" i="25"/>
  <c r="D122" i="10"/>
  <c r="C122" i="10"/>
  <c r="E129" i="25" l="1"/>
  <c r="C129" i="25"/>
  <c r="B130" i="25"/>
  <c r="D129" i="25"/>
  <c r="D123" i="10"/>
  <c r="C123" i="10"/>
  <c r="E130" i="25" l="1"/>
  <c r="C130" i="25"/>
  <c r="B131" i="25"/>
  <c r="D130" i="25"/>
  <c r="C124" i="10"/>
  <c r="D124" i="10"/>
  <c r="E131" i="25" l="1"/>
  <c r="C131" i="25"/>
  <c r="D131" i="25"/>
  <c r="B132" i="25"/>
  <c r="D125" i="10"/>
  <c r="C125" i="10"/>
  <c r="E132" i="25" l="1"/>
  <c r="C132" i="25"/>
  <c r="D132" i="25"/>
  <c r="B133" i="25"/>
  <c r="D126" i="10"/>
  <c r="C126" i="10"/>
  <c r="E133" i="25" l="1"/>
  <c r="C133" i="25"/>
  <c r="D133" i="25"/>
  <c r="B134" i="25"/>
  <c r="D127" i="10"/>
  <c r="C127" i="10"/>
  <c r="E134" i="25" l="1"/>
  <c r="C134" i="25"/>
  <c r="D134" i="25"/>
  <c r="B135" i="25"/>
  <c r="C128" i="10"/>
  <c r="D128" i="10"/>
  <c r="E135" i="25" l="1"/>
  <c r="C135" i="25"/>
  <c r="D135" i="25"/>
  <c r="B136" i="25"/>
  <c r="D129" i="10"/>
  <c r="C129" i="10"/>
  <c r="E136" i="25" l="1"/>
  <c r="C136" i="25"/>
  <c r="D136" i="25"/>
  <c r="B137" i="25"/>
  <c r="D130" i="10"/>
  <c r="C130" i="10"/>
  <c r="E137" i="25" l="1"/>
  <c r="C137" i="25"/>
  <c r="D137" i="25"/>
  <c r="B138" i="25"/>
  <c r="D131" i="10"/>
  <c r="C131" i="10"/>
  <c r="E138" i="25" l="1"/>
  <c r="C138" i="25"/>
  <c r="D138" i="25"/>
  <c r="B139" i="25"/>
  <c r="C132" i="10"/>
  <c r="D132" i="10"/>
  <c r="E139" i="25" l="1"/>
  <c r="C139" i="25"/>
  <c r="D139" i="25"/>
  <c r="B140" i="25"/>
  <c r="D133" i="10"/>
  <c r="C133" i="10"/>
  <c r="E140" i="25" l="1"/>
  <c r="C140" i="25"/>
  <c r="D140" i="25"/>
  <c r="B141" i="25"/>
  <c r="D134" i="10"/>
  <c r="C134" i="10"/>
  <c r="E141" i="25" l="1"/>
  <c r="C141" i="25"/>
  <c r="D141" i="25"/>
  <c r="B142" i="25"/>
  <c r="D135" i="10"/>
  <c r="C135" i="10"/>
  <c r="E142" i="25" l="1"/>
  <c r="C142" i="25"/>
  <c r="D142" i="25"/>
  <c r="B143" i="25"/>
  <c r="C136" i="10"/>
  <c r="D136" i="10"/>
  <c r="E143" i="25" l="1"/>
  <c r="C143" i="25"/>
  <c r="D143" i="25"/>
  <c r="B144" i="25"/>
  <c r="D137" i="10"/>
  <c r="C137" i="10"/>
  <c r="E144" i="25" l="1"/>
  <c r="C144" i="25"/>
  <c r="D144" i="25"/>
  <c r="B145" i="25"/>
  <c r="D138" i="10"/>
  <c r="C138" i="10"/>
  <c r="E145" i="25" l="1"/>
  <c r="C145" i="25"/>
  <c r="D145" i="25"/>
  <c r="B146" i="25"/>
  <c r="D139" i="10"/>
  <c r="C139" i="10"/>
  <c r="E146" i="25" l="1"/>
  <c r="C146" i="25"/>
  <c r="D146" i="25"/>
  <c r="B147" i="25"/>
  <c r="C140" i="10"/>
  <c r="D140" i="10"/>
  <c r="E147" i="25" l="1"/>
  <c r="C147" i="25"/>
  <c r="D147" i="25"/>
  <c r="B148" i="25"/>
  <c r="D141" i="10"/>
  <c r="C141" i="10"/>
  <c r="E148" i="25" l="1"/>
  <c r="C148" i="25"/>
  <c r="D148" i="25"/>
  <c r="B149" i="25"/>
  <c r="D142" i="10"/>
  <c r="C142" i="10"/>
  <c r="E149" i="25" l="1"/>
  <c r="C149" i="25"/>
  <c r="D149" i="25"/>
  <c r="B150" i="25"/>
  <c r="D143" i="10"/>
  <c r="C143" i="10"/>
  <c r="E150" i="25" l="1"/>
  <c r="C150" i="25"/>
  <c r="D150" i="25"/>
  <c r="B151" i="25"/>
  <c r="C144" i="10"/>
  <c r="D144" i="10"/>
  <c r="E151" i="25" l="1"/>
  <c r="C151" i="25"/>
  <c r="D151" i="25"/>
  <c r="B152" i="25"/>
  <c r="D145" i="10"/>
  <c r="C145" i="10"/>
  <c r="E152" i="25" l="1"/>
  <c r="C152" i="25"/>
  <c r="D152" i="25"/>
  <c r="B153" i="25"/>
  <c r="D146" i="10"/>
  <c r="C146" i="10"/>
  <c r="E153" i="25" l="1"/>
  <c r="C153" i="25"/>
  <c r="D153" i="25"/>
  <c r="B154" i="25"/>
  <c r="D147" i="10"/>
  <c r="C147" i="10"/>
  <c r="E154" i="25" l="1"/>
  <c r="C154" i="25"/>
  <c r="D154" i="25"/>
  <c r="B155" i="25"/>
  <c r="C148" i="10"/>
  <c r="D148" i="10"/>
  <c r="E155" i="25" l="1"/>
  <c r="C155" i="25"/>
  <c r="D155" i="25"/>
  <c r="B156" i="25"/>
  <c r="D149" i="10"/>
  <c r="C149" i="10"/>
  <c r="E156" i="25" l="1"/>
  <c r="C156" i="25"/>
  <c r="D156" i="25"/>
  <c r="B157" i="25"/>
  <c r="D150" i="10"/>
  <c r="C150" i="10"/>
  <c r="E157" i="25" l="1"/>
  <c r="C157" i="25"/>
  <c r="D157" i="25"/>
  <c r="B158" i="25"/>
  <c r="D151" i="10"/>
  <c r="C151" i="10"/>
  <c r="E158" i="25" l="1"/>
  <c r="C158" i="25"/>
  <c r="D158" i="25"/>
  <c r="B159" i="25"/>
  <c r="C152" i="10"/>
  <c r="D152" i="10"/>
  <c r="E159" i="25" l="1"/>
  <c r="C159" i="25"/>
  <c r="D159" i="25"/>
  <c r="B160" i="25"/>
  <c r="D153" i="10"/>
  <c r="C153" i="10"/>
  <c r="E160" i="25" l="1"/>
  <c r="C160" i="25"/>
  <c r="D160" i="25"/>
  <c r="B161" i="25"/>
  <c r="D154" i="10"/>
  <c r="C154" i="10"/>
  <c r="E161" i="25" l="1"/>
  <c r="C161" i="25"/>
  <c r="D161" i="25"/>
  <c r="B162" i="25"/>
  <c r="D155" i="10"/>
  <c r="C155" i="10"/>
  <c r="E162" i="25" l="1"/>
  <c r="C162" i="25"/>
  <c r="D162" i="25"/>
  <c r="B163" i="25"/>
  <c r="C156" i="10"/>
  <c r="D156" i="10"/>
  <c r="E163" i="25" l="1"/>
  <c r="C163" i="25"/>
  <c r="D163" i="25"/>
  <c r="B164" i="25"/>
  <c r="D157" i="10"/>
  <c r="C157" i="10"/>
  <c r="E164" i="25" l="1"/>
  <c r="C164" i="25"/>
  <c r="D164" i="25"/>
  <c r="B165" i="25"/>
  <c r="D158" i="10"/>
  <c r="C158" i="10"/>
  <c r="E165" i="25" l="1"/>
  <c r="C165" i="25"/>
  <c r="D165" i="25"/>
  <c r="B166" i="25"/>
  <c r="D159" i="10"/>
  <c r="C159" i="10"/>
  <c r="E166" i="25" l="1"/>
  <c r="C166" i="25"/>
  <c r="D166" i="25"/>
  <c r="B167" i="25"/>
  <c r="C160" i="10"/>
  <c r="D160" i="10"/>
  <c r="E167" i="25" l="1"/>
  <c r="C167" i="25"/>
  <c r="D167" i="25"/>
  <c r="B168" i="25"/>
  <c r="D161" i="10"/>
  <c r="C161" i="10"/>
  <c r="E168" i="25" l="1"/>
  <c r="C168" i="25"/>
  <c r="D168" i="25"/>
  <c r="B169" i="25"/>
  <c r="D162" i="10"/>
  <c r="C162" i="10"/>
  <c r="E169" i="25" l="1"/>
  <c r="C169" i="25"/>
  <c r="D169" i="25"/>
  <c r="B170" i="25"/>
  <c r="D163" i="10"/>
  <c r="C163" i="10"/>
  <c r="E170" i="25" l="1"/>
  <c r="C170" i="25"/>
  <c r="D170" i="25"/>
  <c r="B171" i="25"/>
  <c r="C164" i="10"/>
  <c r="D164" i="10"/>
  <c r="E171" i="25" l="1"/>
  <c r="C171" i="25"/>
  <c r="D171" i="25"/>
  <c r="B172" i="25"/>
  <c r="D165" i="10"/>
  <c r="C165" i="10"/>
  <c r="E172" i="25" l="1"/>
  <c r="C172" i="25"/>
  <c r="D172" i="25"/>
  <c r="B173" i="25"/>
  <c r="D166" i="10"/>
  <c r="C166" i="10"/>
  <c r="E173" i="25" l="1"/>
  <c r="B174" i="25"/>
  <c r="C173" i="25"/>
  <c r="D173" i="25"/>
  <c r="D167" i="10"/>
  <c r="C167" i="10"/>
  <c r="E174" i="25" l="1"/>
  <c r="C174" i="25"/>
  <c r="B175" i="25"/>
  <c r="D174" i="25"/>
  <c r="C168" i="10"/>
  <c r="D168" i="10"/>
  <c r="E175" i="25" l="1"/>
  <c r="C175" i="25"/>
  <c r="B176" i="25"/>
  <c r="D175" i="25"/>
  <c r="D169" i="10"/>
  <c r="C169" i="10"/>
  <c r="E176" i="25" l="1"/>
  <c r="C176" i="25"/>
  <c r="B177" i="25"/>
  <c r="D176" i="25"/>
  <c r="D170" i="10"/>
  <c r="C170" i="10"/>
  <c r="E177" i="25" l="1"/>
  <c r="C177" i="25"/>
  <c r="B178" i="25"/>
  <c r="D177" i="25"/>
  <c r="D171" i="10"/>
  <c r="C171" i="10"/>
  <c r="E178" i="25" l="1"/>
  <c r="C178" i="25"/>
  <c r="B179" i="25"/>
  <c r="D178" i="25"/>
  <c r="C172" i="10"/>
  <c r="D172" i="10"/>
  <c r="E179" i="25" l="1"/>
  <c r="C179" i="25"/>
  <c r="B180" i="25"/>
  <c r="D179" i="25"/>
  <c r="D173" i="10"/>
  <c r="C173" i="10"/>
  <c r="E180" i="25" l="1"/>
  <c r="C180" i="25"/>
  <c r="B181" i="25"/>
  <c r="D180" i="25"/>
  <c r="D174" i="10"/>
  <c r="C174" i="10"/>
  <c r="E181" i="25" l="1"/>
  <c r="C181" i="25"/>
  <c r="B182" i="25"/>
  <c r="D181" i="25"/>
  <c r="D175" i="10"/>
  <c r="C175" i="10"/>
  <c r="E182" i="25" l="1"/>
  <c r="C182" i="25"/>
  <c r="B183" i="25"/>
  <c r="D182" i="25"/>
  <c r="C176" i="10"/>
  <c r="D176" i="10"/>
  <c r="E183" i="25" l="1"/>
  <c r="C183" i="25"/>
  <c r="B184" i="25"/>
  <c r="D183" i="25"/>
  <c r="D177" i="10"/>
  <c r="C177" i="10"/>
  <c r="E184" i="25" l="1"/>
  <c r="C184" i="25"/>
  <c r="B185" i="25"/>
  <c r="D184" i="25"/>
  <c r="D178" i="10"/>
  <c r="C178" i="10"/>
  <c r="E185" i="25" l="1"/>
  <c r="C185" i="25"/>
  <c r="B186" i="25"/>
  <c r="D185" i="25"/>
  <c r="D179" i="10"/>
  <c r="C179" i="10"/>
  <c r="E186" i="25" l="1"/>
  <c r="C186" i="25"/>
  <c r="B187" i="25"/>
  <c r="D186" i="25"/>
  <c r="C180" i="10"/>
  <c r="D180" i="10"/>
  <c r="E187" i="25" l="1"/>
  <c r="C187" i="25"/>
  <c r="B188" i="25"/>
  <c r="D187" i="25"/>
  <c r="D181" i="10"/>
  <c r="C181" i="10"/>
  <c r="E188" i="25" l="1"/>
  <c r="C188" i="25"/>
  <c r="B189" i="25"/>
  <c r="D188" i="25"/>
  <c r="D182" i="10"/>
  <c r="C182" i="10"/>
  <c r="E189" i="25" l="1"/>
  <c r="C189" i="25"/>
  <c r="B190" i="25"/>
  <c r="D189" i="25"/>
  <c r="D183" i="10"/>
  <c r="C183" i="10"/>
  <c r="E190" i="25" l="1"/>
  <c r="C190" i="25"/>
  <c r="B191" i="25"/>
  <c r="D190" i="25"/>
  <c r="C184" i="10"/>
  <c r="D184" i="10"/>
  <c r="E191" i="25" l="1"/>
  <c r="C191" i="25"/>
  <c r="B192" i="25"/>
  <c r="D191" i="25"/>
  <c r="D185" i="10"/>
  <c r="C185" i="10"/>
  <c r="E192" i="25" l="1"/>
  <c r="C192" i="25"/>
  <c r="B193" i="25"/>
  <c r="D192" i="25"/>
  <c r="D186" i="10"/>
  <c r="C186" i="10"/>
  <c r="E193" i="25" l="1"/>
  <c r="C193" i="25"/>
  <c r="B194" i="25"/>
  <c r="D193" i="25"/>
  <c r="D187" i="10"/>
  <c r="C187" i="10"/>
  <c r="E194" i="25" l="1"/>
  <c r="C194" i="25"/>
  <c r="B195" i="25"/>
  <c r="D194" i="25"/>
  <c r="C188" i="10"/>
  <c r="D188" i="10"/>
  <c r="E195" i="25" l="1"/>
  <c r="C195" i="25"/>
  <c r="B196" i="25"/>
  <c r="D195" i="25"/>
  <c r="D189" i="10"/>
  <c r="C189" i="10"/>
  <c r="E196" i="25" l="1"/>
  <c r="C196" i="25"/>
  <c r="B197" i="25"/>
  <c r="D196" i="25"/>
  <c r="D190" i="10"/>
  <c r="C190" i="10"/>
  <c r="E197" i="25" l="1"/>
  <c r="C197" i="25"/>
  <c r="B198" i="25"/>
  <c r="D197" i="25"/>
  <c r="D191" i="10"/>
  <c r="C191" i="10"/>
  <c r="E198" i="25" l="1"/>
  <c r="C198" i="25"/>
  <c r="B199" i="25"/>
  <c r="D198" i="25"/>
  <c r="C192" i="10"/>
  <c r="D192" i="10"/>
  <c r="E199" i="25" l="1"/>
  <c r="C199" i="25"/>
  <c r="B200" i="25"/>
  <c r="D199" i="25"/>
  <c r="D193" i="10"/>
  <c r="C193" i="10"/>
  <c r="E200" i="25" l="1"/>
  <c r="C200" i="25"/>
  <c r="B201" i="25"/>
  <c r="D200" i="25"/>
  <c r="D194" i="10"/>
  <c r="C194" i="10"/>
  <c r="E201" i="25" l="1"/>
  <c r="C201" i="25"/>
  <c r="B202" i="25"/>
  <c r="D201" i="25"/>
  <c r="D195" i="10"/>
  <c r="C195" i="10"/>
  <c r="E202" i="25" l="1"/>
  <c r="C202" i="25"/>
  <c r="B203" i="25"/>
  <c r="D202" i="25"/>
  <c r="C196" i="10"/>
  <c r="D196" i="10"/>
  <c r="E203" i="25" l="1"/>
  <c r="C203" i="25"/>
  <c r="B204" i="25"/>
  <c r="D203" i="25"/>
  <c r="D197" i="10"/>
  <c r="C197" i="10"/>
  <c r="E204" i="25" l="1"/>
  <c r="C204" i="25"/>
  <c r="B205" i="25"/>
  <c r="D204" i="25"/>
  <c r="D198" i="10"/>
  <c r="C198" i="10"/>
  <c r="E205" i="25" l="1"/>
  <c r="C205" i="25"/>
  <c r="B206" i="25"/>
  <c r="D205" i="25"/>
  <c r="D199" i="10"/>
  <c r="C199" i="10"/>
  <c r="E206" i="25" l="1"/>
  <c r="C206" i="25"/>
  <c r="B207" i="25"/>
  <c r="D206" i="25"/>
  <c r="C200" i="10"/>
  <c r="D200" i="10"/>
  <c r="E207" i="25" l="1"/>
  <c r="C207" i="25"/>
  <c r="B208" i="25"/>
  <c r="D207" i="25"/>
  <c r="D201" i="10"/>
  <c r="C201" i="10"/>
  <c r="E208" i="25" l="1"/>
  <c r="C208" i="25"/>
  <c r="B209" i="25"/>
  <c r="D208" i="25"/>
  <c r="D202" i="10"/>
  <c r="C202" i="10"/>
  <c r="E209" i="25" l="1"/>
  <c r="C209" i="25"/>
  <c r="B210" i="25"/>
  <c r="D209" i="25"/>
  <c r="D203" i="10"/>
  <c r="C203" i="10"/>
  <c r="E210" i="25" l="1"/>
  <c r="C210" i="25"/>
  <c r="B211" i="25"/>
  <c r="D210" i="25"/>
  <c r="C204" i="10"/>
  <c r="D204" i="10"/>
  <c r="E211" i="25" l="1"/>
  <c r="C211" i="25"/>
  <c r="B212" i="25"/>
  <c r="D211" i="25"/>
  <c r="D205" i="10"/>
  <c r="C205" i="10"/>
  <c r="E212" i="25" l="1"/>
  <c r="C212" i="25"/>
  <c r="B213" i="25"/>
  <c r="D212" i="25"/>
  <c r="D206" i="10"/>
  <c r="C206" i="10"/>
  <c r="E213" i="25" l="1"/>
  <c r="C213" i="25"/>
  <c r="B214" i="25"/>
  <c r="D213" i="25"/>
  <c r="D207" i="10"/>
  <c r="C207" i="10"/>
  <c r="E214" i="25" l="1"/>
  <c r="C214" i="25"/>
  <c r="D214" i="25"/>
  <c r="C208" i="10"/>
  <c r="D208" i="10"/>
  <c r="C215" i="25" l="1"/>
  <c r="D215" i="25"/>
  <c r="D209" i="10"/>
  <c r="C209" i="10"/>
  <c r="D210" i="10" l="1"/>
  <c r="C210" i="10"/>
  <c r="D211" i="10" l="1"/>
  <c r="C211" i="10"/>
  <c r="F27"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<sst xmlns="http://schemas.openxmlformats.org/spreadsheetml/2006/main" count="95" uniqueCount="53">
  <si>
    <t>VaR Threshold, %</t>
  </si>
  <si>
    <t>Mean</t>
  </si>
  <si>
    <t>Std Dev</t>
  </si>
  <si>
    <t>VaR</t>
  </si>
  <si>
    <t>CVaR</t>
  </si>
  <si>
    <t>x</t>
  </si>
  <si>
    <t>Asset A</t>
  </si>
  <si>
    <t>Asset B</t>
  </si>
  <si>
    <t>A</t>
  </si>
  <si>
    <t>B</t>
  </si>
  <si>
    <t>Pf weights</t>
  </si>
  <si>
    <t>US Corp</t>
  </si>
  <si>
    <t>UST</t>
  </si>
  <si>
    <t>US HY</t>
  </si>
  <si>
    <t>Min</t>
  </si>
  <si>
    <t>Max</t>
  </si>
  <si>
    <t>From</t>
  </si>
  <si>
    <t>To</t>
  </si>
  <si>
    <t>Label</t>
  </si>
  <si>
    <t>G0Q0</t>
  </si>
  <si>
    <t>G0L0</t>
  </si>
  <si>
    <t>ICE BofA US Treasury Index</t>
  </si>
  <si>
    <t>ICE BofA UK Gilt Index</t>
  </si>
  <si>
    <t>Prob Sf</t>
  </si>
  <si>
    <t>VAR</t>
  </si>
  <si>
    <t>Threshold, %</t>
  </si>
  <si>
    <t>Rank</t>
  </si>
  <si>
    <t>Average Sf</t>
  </si>
  <si>
    <t>Shortfall</t>
  </si>
  <si>
    <t>Asf</t>
  </si>
  <si>
    <t>Portfolio</t>
  </si>
  <si>
    <t>-</t>
  </si>
  <si>
    <t>Return Index</t>
  </si>
  <si>
    <t>Indices used:</t>
  </si>
  <si>
    <t>Curve</t>
  </si>
  <si>
    <t>How to construct a histogram</t>
  </si>
  <si>
    <t>Asset return distributions</t>
  </si>
  <si>
    <t>Asset return correlations</t>
  </si>
  <si>
    <t>Where to put the hump of the curve</t>
  </si>
  <si>
    <t>Normal Distn</t>
  </si>
  <si>
    <t>Montly returns, %</t>
  </si>
  <si>
    <t>BM (G0Q0)</t>
  </si>
  <si>
    <t>PF (G0L0)</t>
  </si>
  <si>
    <t>Co-variance matrix</t>
  </si>
  <si>
    <t>Correlation</t>
  </si>
  <si>
    <t>empirical</t>
  </si>
  <si>
    <t>Difference</t>
  </si>
  <si>
    <t>Tracking Error</t>
  </si>
  <si>
    <t>monthly (to annualise *SQRT(12))</t>
  </si>
  <si>
    <t>End points of the lines on the chart</t>
  </si>
  <si>
    <t>Freq</t>
  </si>
  <si>
    <t xml:space="preserve"> </t>
  </si>
  <si>
    <t>How to construct scatter charts with TE, VAR, CVAR, PSF, ASF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</si>
</sst>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
    <numFmt numFmtId="166" formatCode="0.0000"/>
    <numFmt numFmtId="167" formatCode="0.00000"/>
    <numFmt numFmtId="168" formatCode="mmm\-yyyy"/>
  </numFmts>
  <fonts count="1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color theme="1"/>
      <name val="Arial Narrow"/>
      <family val="2"/>
    </font>
    <font>
      <i/>
      <sz val="11"/>
      <color theme="0" tint="-0.34998626667073579"/>
      <name val="Calibri"/>
      <family val="2"/>
      <scheme val="minor"/>
    </font>
    <font>
      <sz val="11"/>
      <color theme="1"/>
      <name val="Calibri"/>
      <family val="2"/>
    </font>
    <font>
      <i/>
      <sz val="11"/>
      <color theme="0" tint="-0.249977111117893"/>
      <name val="Calibri"/>
      <family val="2"/>
      <scheme val="minor"/>
    </font>
    <font>
      <b/>
      <sz val="20"/>
      <color theme="0"/>
      <name val="Calibri"/>
      <family val="2"/>
      <scheme val="minor"/>
    </font>
    <font>
      <sz val="11"/>
      <color theme="0"/>
      <name val="Calibri"/>
      <family val="2"/>
      <scheme val="minor"/>
    </font>
    <font>
      <i/>
      <sz val="11"/>
      <color theme="1" tint="0.499984740745262"/>
      <name val="Calibri"/>
      <family val="2"/>
      <scheme val="minor"/>
    </font>
  </fonts>
  <fills count="10">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4" tint="-0.249977111117893"/>
        <bgColor indexed="64"/>
      </patternFill>
    </fill>
    <fill>
      <patternFill patternType="solid">
        <fgColor rgb="FF002060"/>
        <bgColor indexed="64"/>
      </patternFill>
    </fill>
    <fill>
      <patternFill patternType="solid">
        <fgColor rgb="FFFFCCCC"/>
        <bgColor indexed="64"/>
      </patternFill>
    </fill>
  </fills>
  <borders count="5">
    <border>
      <left/>
      <right/>
      <top/>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top style="hair">
        <color auto="1"/>
      </top>
      <bottom style="hair">
        <color auto="1"/>
      </bottom>
      <diagonal/>
    </border>
  </borders>
  <cellStyleXfs count="6">
    <xf numFmtId="0" fontId="0" fillId="0" borderId="0"/>
    <xf numFmtId="9" fontId="1" fillId="0" borderId="0" applyFont="0" applyFill="0" applyBorder="0" applyAlignment="0" applyProtection="0"/>
    <xf numFmtId="0" fontId="4" fillId="0" borderId="0"/>
    <xf numFmtId="0" fontId="6" fillId="0" borderId="0"/>
    <xf numFmtId="9" fontId="6" fillId="0" borderId="0" applyFont="0" applyFill="0" applyBorder="0" applyAlignment="0" applyProtection="0"/>
    <xf numFmtId="0" fontId="4" fillId="0" borderId="0"/>
  </cellStyleXfs>
  <cellXfs count="82">
    <xf numFmtId="0" fontId="0" fillId="0" borderId="0" xfId="0"/>
    <xf numFmtId="0" fontId="0" fillId="2" borderId="0" xfId="0" applyFill="1"/>
    <xf numFmtId="0" fontId="0" fillId="2" borderId="0" xfId="0" applyFill="1" applyAlignment="1">
      <alignment vertical="center"/>
    </xf>
    <xf numFmtId="0" fontId="0" fillId="2" borderId="0" xfId="0" applyFill="1" applyAlignment="1">
      <alignment horizontal="right" vertical="center"/>
    </xf>
    <xf numFmtId="164" fontId="0" fillId="2" borderId="0" xfId="0" applyNumberFormat="1" applyFill="1" applyAlignment="1">
      <alignment vertical="center"/>
    </xf>
    <xf numFmtId="0" fontId="5" fillId="2" borderId="0" xfId="0" applyFont="1" applyFill="1" applyAlignment="1">
      <alignment vertical="center"/>
    </xf>
    <xf numFmtId="164" fontId="0" fillId="2" borderId="1" xfId="0" applyNumberFormat="1" applyFill="1" applyBorder="1" applyAlignment="1">
      <alignment vertical="center"/>
    </xf>
    <xf numFmtId="2" fontId="0" fillId="2" borderId="1" xfId="0" applyNumberFormat="1" applyFill="1" applyBorder="1" applyAlignment="1">
      <alignment vertical="center"/>
    </xf>
    <xf numFmtId="164" fontId="3" fillId="3" borderId="0" xfId="0" applyNumberFormat="1" applyFont="1" applyFill="1" applyAlignment="1">
      <alignment horizontal="center" vertical="center"/>
    </xf>
    <xf numFmtId="164" fontId="0" fillId="2" borderId="0" xfId="0" applyNumberFormat="1" applyFill="1" applyAlignment="1">
      <alignment horizontal="center" vertical="center"/>
    </xf>
    <xf numFmtId="0" fontId="3" fillId="3" borderId="0" xfId="0" applyFont="1" applyFill="1" applyAlignment="1">
      <alignment horizontal="center" vertical="center"/>
    </xf>
    <xf numFmtId="0" fontId="0" fillId="2" borderId="0" xfId="0" applyFill="1" applyAlignment="1">
      <alignment horizontal="center" vertical="center"/>
    </xf>
    <xf numFmtId="0" fontId="0" fillId="6" borderId="1" xfId="0" applyFill="1" applyBorder="1" applyAlignment="1">
      <alignment horizontal="center" vertical="center"/>
    </xf>
    <xf numFmtId="2" fontId="0" fillId="2" borderId="1" xfId="0" applyNumberFormat="1" applyFill="1" applyBorder="1" applyAlignment="1">
      <alignment horizontal="center" vertical="center"/>
    </xf>
    <xf numFmtId="164" fontId="0" fillId="2" borderId="1" xfId="0" applyNumberFormat="1" applyFill="1" applyBorder="1" applyAlignment="1">
      <alignment horizontal="center" vertical="center"/>
    </xf>
    <xf numFmtId="0" fontId="0" fillId="6" borderId="1" xfId="0" applyFill="1" applyBorder="1" applyAlignment="1">
      <alignment horizontal="right"/>
    </xf>
    <xf numFmtId="0" fontId="0" fillId="2" borderId="1" xfId="0" applyFill="1" applyBorder="1"/>
    <xf numFmtId="0" fontId="0" fillId="2" borderId="1" xfId="0" applyFill="1" applyBorder="1" applyAlignment="1">
      <alignment vertical="center"/>
    </xf>
    <xf numFmtId="166" fontId="0" fillId="2" borderId="1" xfId="0" applyNumberFormat="1" applyFill="1" applyBorder="1" applyAlignment="1">
      <alignment vertical="center"/>
    </xf>
    <xf numFmtId="0" fontId="0" fillId="6" borderId="1" xfId="0" applyFill="1" applyBorder="1" applyAlignment="1">
      <alignment vertical="center"/>
    </xf>
    <xf numFmtId="0" fontId="3" fillId="6" borderId="1" xfId="0" applyFont="1" applyFill="1" applyBorder="1" applyAlignment="1">
      <alignment horizontal="center" vertical="center"/>
    </xf>
    <xf numFmtId="0" fontId="3" fillId="6" borderId="1" xfId="0" applyFont="1" applyFill="1" applyBorder="1" applyAlignment="1">
      <alignment horizontal="center" vertical="center" wrapText="1"/>
    </xf>
    <xf numFmtId="0" fontId="3" fillId="6" borderId="1" xfId="0" applyFont="1" applyFill="1" applyBorder="1" applyAlignment="1">
      <alignment horizontal="left" vertical="center"/>
    </xf>
    <xf numFmtId="0" fontId="0" fillId="4" borderId="1" xfId="0" applyFill="1" applyBorder="1" applyAlignment="1">
      <alignment vertical="center"/>
    </xf>
    <xf numFmtId="165" fontId="0" fillId="4" borderId="1" xfId="0" applyNumberFormat="1" applyFill="1" applyBorder="1" applyAlignment="1">
      <alignment vertical="center"/>
    </xf>
    <xf numFmtId="0" fontId="1" fillId="5" borderId="0" xfId="2" applyFont="1" applyFill="1"/>
    <xf numFmtId="0" fontId="1" fillId="5" borderId="0" xfId="0" applyFont="1" applyFill="1"/>
    <xf numFmtId="0" fontId="2" fillId="7" borderId="0" xfId="2" applyFont="1" applyFill="1"/>
    <xf numFmtId="0" fontId="1" fillId="2" borderId="0" xfId="2" applyFont="1" applyFill="1"/>
    <xf numFmtId="0" fontId="1" fillId="2" borderId="0" xfId="0" applyFont="1" applyFill="1"/>
    <xf numFmtId="0" fontId="3" fillId="2" borderId="0" xfId="2" applyFont="1" applyFill="1" applyAlignment="1">
      <alignment horizontal="right"/>
    </xf>
    <xf numFmtId="0" fontId="1" fillId="2" borderId="1" xfId="2" applyFont="1" applyFill="1" applyBorder="1"/>
    <xf numFmtId="0" fontId="1" fillId="6" borderId="1" xfId="2" applyFont="1" applyFill="1" applyBorder="1"/>
    <xf numFmtId="0" fontId="3" fillId="6" borderId="1" xfId="2" applyFont="1" applyFill="1" applyBorder="1" applyAlignment="1">
      <alignment horizontal="right"/>
    </xf>
    <xf numFmtId="0" fontId="1" fillId="2" borderId="0" xfId="2" applyFont="1" applyFill="1" applyAlignment="1">
      <alignment horizontal="right"/>
    </xf>
    <xf numFmtId="0" fontId="1" fillId="6" borderId="1" xfId="2" applyFont="1" applyFill="1" applyBorder="1" applyAlignment="1">
      <alignment horizontal="right"/>
    </xf>
    <xf numFmtId="0" fontId="3" fillId="2" borderId="0" xfId="0" applyFont="1" applyFill="1"/>
    <xf numFmtId="0" fontId="8" fillId="8" borderId="0" xfId="0" applyFont="1" applyFill="1"/>
    <xf numFmtId="167" fontId="0" fillId="2" borderId="0" xfId="0" applyNumberFormat="1" applyFill="1"/>
    <xf numFmtId="0" fontId="0" fillId="2" borderId="1" xfId="0" applyFill="1" applyBorder="1" applyAlignment="1">
      <alignment horizontal="right"/>
    </xf>
    <xf numFmtId="2" fontId="0" fillId="2" borderId="1" xfId="0" applyNumberFormat="1" applyFill="1" applyBorder="1"/>
    <xf numFmtId="0" fontId="0" fillId="6" borderId="2" xfId="0" applyFill="1" applyBorder="1"/>
    <xf numFmtId="0" fontId="0" fillId="6" borderId="4" xfId="0" applyFill="1" applyBorder="1"/>
    <xf numFmtId="0" fontId="0" fillId="6" borderId="3" xfId="0" applyFill="1" applyBorder="1"/>
    <xf numFmtId="0" fontId="7" fillId="2" borderId="0" xfId="0" applyFont="1" applyFill="1"/>
    <xf numFmtId="164" fontId="7" fillId="2" borderId="0" xfId="0" applyNumberFormat="1" applyFont="1" applyFill="1"/>
    <xf numFmtId="0" fontId="3" fillId="6" borderId="2" xfId="0" applyFont="1" applyFill="1" applyBorder="1"/>
    <xf numFmtId="0" fontId="3" fillId="2" borderId="0" xfId="2" applyFont="1" applyFill="1" applyAlignment="1">
      <alignment horizontal="center"/>
    </xf>
    <xf numFmtId="164" fontId="1" fillId="2" borderId="1" xfId="2" applyNumberFormat="1" applyFont="1" applyFill="1" applyBorder="1"/>
    <xf numFmtId="0" fontId="3" fillId="6" borderId="1" xfId="0" applyFont="1" applyFill="1" applyBorder="1"/>
    <xf numFmtId="164" fontId="1" fillId="2" borderId="1" xfId="2" quotePrefix="1" applyNumberFormat="1" applyFont="1" applyFill="1" applyBorder="1" applyAlignment="1">
      <alignment horizontal="right"/>
    </xf>
    <xf numFmtId="164" fontId="1" fillId="2" borderId="1" xfId="2" applyNumberFormat="1" applyFont="1" applyFill="1" applyBorder="1" applyAlignment="1">
      <alignment horizontal="right"/>
    </xf>
    <xf numFmtId="0" fontId="3" fillId="6" borderId="2" xfId="0" quotePrefix="1" applyFont="1" applyFill="1" applyBorder="1" applyAlignment="1">
      <alignment vertical="center"/>
    </xf>
    <xf numFmtId="0" fontId="3" fillId="6" borderId="2" xfId="0" applyFont="1" applyFill="1" applyBorder="1" applyAlignment="1">
      <alignment vertical="center"/>
    </xf>
    <xf numFmtId="0" fontId="3" fillId="6" borderId="3" xfId="0" applyFont="1" applyFill="1" applyBorder="1" applyAlignment="1">
      <alignment horizontal="right" vertical="center"/>
    </xf>
    <xf numFmtId="9" fontId="0" fillId="4" borderId="1" xfId="1" applyFont="1" applyFill="1" applyBorder="1" applyAlignment="1">
      <alignment vertical="center"/>
    </xf>
    <xf numFmtId="0" fontId="9" fillId="2" borderId="0" xfId="0" applyFont="1" applyFill="1" applyAlignment="1">
      <alignment vertical="center"/>
    </xf>
    <xf numFmtId="0" fontId="9" fillId="2" borderId="0" xfId="0" applyFont="1" applyFill="1"/>
    <xf numFmtId="164" fontId="8" fillId="8" borderId="0" xfId="0" applyNumberFormat="1" applyFont="1" applyFill="1" applyAlignment="1">
      <alignment horizontal="right"/>
    </xf>
    <xf numFmtId="164" fontId="0" fillId="2" borderId="0" xfId="0" applyNumberFormat="1" applyFill="1" applyAlignment="1">
      <alignment horizontal="right"/>
    </xf>
    <xf numFmtId="164" fontId="0" fillId="2" borderId="1" xfId="0" applyNumberFormat="1" applyFill="1" applyBorder="1" applyAlignment="1">
      <alignment horizontal="right"/>
    </xf>
    <xf numFmtId="164" fontId="0" fillId="2" borderId="1" xfId="0" applyNumberFormat="1" applyFill="1" applyBorder="1" applyAlignment="1">
      <alignment horizontal="right" vertical="center"/>
    </xf>
    <xf numFmtId="0" fontId="10" fillId="6" borderId="4" xfId="0" applyFont="1" applyFill="1" applyBorder="1" applyAlignment="1">
      <alignment horizontal="right"/>
    </xf>
    <xf numFmtId="164" fontId="10" fillId="6" borderId="3" xfId="0" applyNumberFormat="1" applyFont="1" applyFill="1" applyBorder="1" applyAlignment="1">
      <alignment horizontal="left"/>
    </xf>
    <xf numFmtId="0" fontId="1" fillId="9" borderId="1" xfId="2" applyFont="1" applyFill="1" applyBorder="1"/>
    <xf numFmtId="164" fontId="1" fillId="2" borderId="0" xfId="2" applyNumberFormat="1" applyFont="1" applyFill="1"/>
    <xf numFmtId="1" fontId="1" fillId="2" borderId="1" xfId="2" applyNumberFormat="1" applyFont="1" applyFill="1" applyBorder="1"/>
    <xf numFmtId="0" fontId="7" fillId="2" borderId="0" xfId="2" applyFont="1" applyFill="1"/>
    <xf numFmtId="0" fontId="1" fillId="6" borderId="2" xfId="2" applyFont="1" applyFill="1" applyBorder="1" applyAlignment="1">
      <alignment horizontal="left"/>
    </xf>
    <xf numFmtId="0" fontId="1" fillId="6" borderId="4" xfId="2" applyFont="1" applyFill="1" applyBorder="1" applyAlignment="1">
      <alignment horizontal="left"/>
    </xf>
    <xf numFmtId="0" fontId="1" fillId="6" borderId="3" xfId="2" applyFont="1" applyFill="1" applyBorder="1" applyAlignment="1">
      <alignment horizontal="left"/>
    </xf>
    <xf numFmtId="164" fontId="0" fillId="6" borderId="1" xfId="0" applyNumberFormat="1" applyFill="1" applyBorder="1" applyAlignment="1">
      <alignment horizontal="right"/>
    </xf>
    <xf numFmtId="0" fontId="8" fillId="8" borderId="0" xfId="0" applyFont="1" applyFill="1" applyAlignment="1">
      <alignment horizontal="left"/>
    </xf>
    <xf numFmtId="0" fontId="0" fillId="6" borderId="1" xfId="0" applyFill="1" applyBorder="1" applyAlignment="1">
      <alignment horizontal="left"/>
    </xf>
    <xf numFmtId="0" fontId="0" fillId="2" borderId="0" xfId="0" applyFill="1" applyAlignment="1">
      <alignment horizontal="left"/>
    </xf>
    <xf numFmtId="168" fontId="0" fillId="6" borderId="1" xfId="0" applyNumberFormat="1" applyFill="1" applyBorder="1" applyAlignment="1">
      <alignment horizontal="left" vertical="center"/>
    </xf>
    <xf numFmtId="0" fontId="1" fillId="6" borderId="1" xfId="5" applyFont="1" applyFill="1" applyBorder="1"/>
    <xf numFmtId="0" fontId="3" fillId="6" borderId="1" xfId="5" applyFont="1" applyFill="1" applyBorder="1" applyAlignment="1">
      <alignment horizontal="right"/>
    </xf>
    <xf numFmtId="15" fontId="1" fillId="6" borderId="1" xfId="5" applyNumberFormat="1" applyFont="1" applyFill="1" applyBorder="1"/>
    <xf numFmtId="2" fontId="1" fillId="2" borderId="1" xfId="5" applyNumberFormat="1" applyFont="1" applyFill="1" applyBorder="1"/>
    <xf numFmtId="0" fontId="3" fillId="6" borderId="1" xfId="0" applyFont="1" applyFill="1" applyBorder="1" applyAlignment="1">
      <alignment horizontal="center"/>
    </xf>
    <xf numFmtId="0" fontId="3" fillId="6" borderId="1" xfId="2" applyFont="1" applyFill="1" applyBorder="1" applyAlignment="1">
      <alignment horizontal="center"/>
    </xf>
  </cellXfs>
  <cellStyles count="6">
    <cellStyle name="Normal" xfId="0" builtinId="0"/>
    <cellStyle name="Normal 2" xfId="2" xr:uid="{AEEEB1BB-A797-41C9-9C3D-687A040FD14C}"/>
    <cellStyle name="Normal 2 2" xfId="5" xr:uid="{8DE00875-BC41-4749-9B26-4C66E8298534}"/>
    <cellStyle name="Normal 3" xfId="3" xr:uid="{E37A7E7B-2ABA-4210-82F5-D346157BC6F6}"/>
    <cellStyle name="Percent" xfId="1" builtinId="5"/>
    <cellStyle name="Percent 2" xfId="4" xr:uid="{10FFD00F-7F3D-45E8-8A3F-F3A4B273915B}"/>
  </cellStyles>
  <dxfs count="0"/>
  <tableStyles count="0" defaultTableStyle="TableStyleMedium2" defaultPivotStyle="PivotStyleLight16"/>
  <colors>
    <mruColors>
      <color rgb="FFECE9E7"/>
      <color rgb="FFCFC9C4"/>
      <color rgb="FFE67F7C"/>
      <color rgb="FFF0D8B9"/>
      <color rgb="FFFCE4D6"/>
      <color rgb="FFFFCCCC"/>
      <color rgb="FF28264B"/>
      <color rgb="FF548BE9"/>
      <color rgb="FF9A221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Asset Return Distributions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'1'!$C$10</c:f>
              <c:strCache>
                <c:ptCount val="1"/>
                <c:pt idx="0">
                  <c:v>Asset A</c:v>
                </c:pt>
              </c:strCache>
            </c:strRef>
          </c:tx>
          <c:spPr>
            <a:ln w="19050" cap="rnd">
              <a:solidFill>
                <a:srgbClr val="548BE9"/>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'1'!$C$11:$C$211</c:f>
              <c:numCache>
                <c:formatCode>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B253-4B0D-9427-A51932E29966}"/>
            </c:ext>
          </c:extLst>
        </c:ser>
        <c:ser>
          <c:idx val="1"/>
          <c:order val="1"/>
          <c:tx>
            <c:strRef>
              <c:f>'1'!$D$10</c:f>
              <c:strCache>
                <c:ptCount val="1"/>
                <c:pt idx="0">
                  <c:v>Asset B</c:v>
                </c:pt>
              </c:strCache>
            </c:strRef>
          </c:tx>
          <c:spPr>
            <a:ln w="19050" cap="rnd">
              <a:solidFill>
                <a:srgbClr val="E6BE8A"/>
              </a:solidFill>
              <a:round/>
            </a:ln>
            <a:effectLst/>
          </c:spPr>
          <c:marker>
            <c:symbol val="none"/>
          </c:marker>
          <c:xVal>
            <c:numRef>
              <c:f>'1'!$B$11:$B$211</c:f>
              <c:numCache>
                <c:formatCode>0.000</c:formatCode>
                <c:ptCount val="201"/>
                <c:pt idx="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c:v>9</c:v>
                </c:pt>
              </c:numCache>
            </c:numRef>
          </c:xVal>
          <c:yVal>
            <c:numRef>
              <c:f>'1'!$D$11:$D$211</c:f>
              <c:numCache>
                <c:formatCode>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B253-4B0D-9427-A51932E29966}"/>
            </c:ext>
          </c:extLst>
        </c:ser>
        <c:ser>
          <c:idx val="2"/>
          <c:order val="2"/>
          <c:spPr>
            <a:ln w="19050" cap="rnd">
              <a:solidFill>
                <a:srgbClr val="548BE9"/>
              </a:solidFill>
              <a:round/>
            </a:ln>
            <a:effectLst/>
          </c:spPr>
          <c:marker>
            <c:symbol val="none"/>
          </c:marker>
          <c:dLbls>
            <c:dLbl>
              <c:idx val="2"/>
              <c:layout>
                <c:manualLayout>
                  <c:x val="-0.11428571428571428"/>
                  <c:y val="-5.4054038716311634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253-4B0D-9427-A51932E29966}"/>
                </c:ext>
              </c:extLst>
            </c:dLbl>
            <c:dLbl>
              <c:idx val="5"/>
              <c:layout>
                <c:manualLayout>
                  <c:x val="-8.4202252687925722E-2"/>
                  <c:y val="-9.3693667108273634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B253-4B0D-9427-A51932E29966}"/>
                </c:ext>
              </c:extLst>
            </c:dLbl>
            <c:dLbl>
              <c:idx val="8"/>
              <c:layout>
                <c:manualLayout>
                  <c:x val="-7.0167071221360566E-2"/>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B253-4B0D-9427-A51932E29966}"/>
                </c:ext>
              </c:extLst>
            </c:dLbl>
            <c:dLbl>
              <c:idx val="14"/>
              <c:layout>
                <c:manualLayout>
                  <c:x val="8.0284175004439497E-3"/>
                  <c:y val="-3.6036025810874492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'1'!$F$11:$F$27</c:f>
              <c:numCache>
                <c:formatCode>General</c:formatCode>
                <c:ptCount val="17"/>
                <c:pt idx="0">
                  <c:v>-7</c:v>
                </c:pt>
                <c:pt idx="1">
                  <c:v>-2.0627228075074266</c:v>
                </c:pt>
                <c:pt idx="2">
                  <c:v>-2.0627128075074266</c:v>
                </c:pt>
                <c:pt idx="3">
                  <c:v>-2.0627028075074265</c:v>
                </c:pt>
                <c:pt idx="4">
                  <c:v>-1.6448636269514727</c:v>
                </c:pt>
                <c:pt idx="5">
                  <c:v>-1.6448536269514726</c:v>
                </c:pt>
                <c:pt idx="6">
                  <c:v>-1.6448436269514726</c:v>
                </c:pt>
                <c:pt idx="7">
                  <c:v>-1.0000100000000001</c:v>
                </c:pt>
                <c:pt idx="8">
                  <c:v>-1</c:v>
                </c:pt>
                <c:pt idx="9">
                  <c:v>-0.99999000000000005</c:v>
                </c:pt>
                <c:pt idx="10">
                  <c:v>-1.0000000000000001E-5</c:v>
                </c:pt>
                <c:pt idx="11">
                  <c:v>0</c:v>
                </c:pt>
                <c:pt idx="12">
                  <c:v>1.0000000000000001E-5</c:v>
                </c:pt>
                <c:pt idx="13">
                  <c:v>0.99999000000000005</c:v>
                </c:pt>
                <c:pt idx="14">
                  <c:v>1</c:v>
                </c:pt>
                <c:pt idx="15">
                  <c:v>1.0000100000000001</c:v>
                </c:pt>
                <c:pt idx="16">
                  <c:v>9</c:v>
                </c:pt>
              </c:numCache>
            </c:numRef>
          </c:xVal>
          <c:yVal>
            <c:numRef>
              <c:f>'1'!$G$11:$G$27</c:f>
              <c:numCache>
                <c:formatCode>General</c:formatCode>
                <c:ptCount val="17"/>
                <c:pt idx="0">
                  <c:v>0</c:v>
                </c:pt>
                <c:pt idx="1">
                  <c:v>0</c:v>
                </c:pt>
                <c:pt idx="2">
                  <c:v>4.7533022625005285E-2</c:v>
                </c:pt>
                <c:pt idx="3">
                  <c:v>0</c:v>
                </c:pt>
                <c:pt idx="4">
                  <c:v>0</c:v>
                </c:pt>
                <c:pt idx="5">
                  <c:v>0.10313564037537132</c:v>
                </c:pt>
                <c:pt idx="6">
                  <c:v>0</c:v>
                </c:pt>
                <c:pt idx="7">
                  <c:v>0</c:v>
                </c:pt>
                <c:pt idx="8">
                  <c:v>0.24197072451914337</c:v>
                </c:pt>
                <c:pt idx="9">
                  <c:v>0</c:v>
                </c:pt>
                <c:pt idx="10">
                  <c:v>0</c:v>
                </c:pt>
                <c:pt idx="11">
                  <c:v>0.3989422804014327</c:v>
                </c:pt>
                <c:pt idx="12">
                  <c:v>0</c:v>
                </c:pt>
                <c:pt idx="13">
                  <c:v>0</c:v>
                </c:pt>
                <c:pt idx="14">
                  <c:v>0.24197072451914337</c:v>
                </c:pt>
                <c:pt idx="15">
                  <c:v>0</c:v>
                </c:pt>
                <c:pt idx="16">
                  <c:v>0</c:v>
                </c:pt>
              </c:numCache>
            </c:numRef>
          </c:yVal>
          <c:smooth val="0"/>
          <c:extLst>
            <c:ext xmlns:c16="http://schemas.microsoft.com/office/drawing/2014/chart" uri="{C3380CC4-5D6E-409C-BE32-E72D297353CC}">
              <c16:uniqueId val="{00000007-B253-4B0D-9427-A51932E29966}"/>
            </c:ext>
          </c:extLst>
        </c:ser>
        <c:ser>
          <c:idx val="3"/>
          <c:order val="3"/>
          <c:spPr>
            <a:ln w="19050" cap="rnd">
              <a:solidFill>
                <a:srgbClr val="E6BE8A"/>
              </a:solidFill>
              <a:round/>
            </a:ln>
            <a:effectLst/>
          </c:spPr>
          <c:marker>
            <c:symbol val="none"/>
          </c:marker>
          <c:dLbls>
            <c:dLbl>
              <c:idx val="2"/>
              <c:layout>
                <c:manualLayout>
                  <c:x val="-0.11428571428571428"/>
                  <c:y val="-5.4054038716311766E-2"/>
                </c:manualLayout>
              </c:layout>
              <c:tx>
                <c:rich>
                  <a:bodyPr/>
                  <a:lstStyle/>
                  <a:p>
                    <a:r>
                      <a:rPr lang="en-US"/>
                      <a:t>CVaR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B253-4B0D-9427-A51932E29966}"/>
                </c:ext>
              </c:extLst>
            </c:dLbl>
            <c:dLbl>
              <c:idx val="5"/>
              <c:layout>
                <c:manualLayout>
                  <c:x val="-8.4210526315789472E-2"/>
                  <c:y val="-9.369366710827351E-2"/>
                </c:manualLayout>
              </c:layout>
              <c:tx>
                <c:rich>
                  <a:bodyPr/>
                  <a:lstStyle/>
                  <a:p>
                    <a:r>
                      <a:rPr lang="en-US"/>
                      <a:t>VaR</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B253-4B0D-9427-A51932E29966}"/>
                </c:ext>
              </c:extLst>
            </c:dLbl>
            <c:dLbl>
              <c:idx val="8"/>
              <c:layout>
                <c:manualLayout>
                  <c:x val="-7.2180451127819623E-2"/>
                  <c:y val="-3.9639628391961931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B253-4B0D-9427-A51932E29966}"/>
                </c:ext>
              </c:extLst>
            </c:dLbl>
            <c:dLbl>
              <c:idx val="11"/>
              <c:layout>
                <c:manualLayout>
                  <c:x val="-3.6090225563909846E-2"/>
                  <c:y val="-3.9639628391961869E-2"/>
                </c:manualLayout>
              </c:layout>
              <c:tx>
                <c:rich>
                  <a:bodyPr/>
                  <a:lstStyle/>
                  <a:p>
                    <a:r>
                      <a:rPr lang="en-US"/>
                      <a:t>Mean</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B253-4B0D-9427-A51932E29966}"/>
                </c:ext>
              </c:extLst>
            </c:dLbl>
            <c:dLbl>
              <c:idx val="14"/>
              <c:layout>
                <c:manualLayout>
                  <c:x val="1.0791545793617167E-3"/>
                  <c:y val="-3.6035883936757128E-2"/>
                </c:manualLayout>
              </c:layout>
              <c:tx>
                <c:rich>
                  <a:bodyPr/>
                  <a:lstStyle/>
                  <a:p>
                    <a:r>
                      <a:rPr lang="en-US"/>
                      <a:t>+TE</a:t>
                    </a:r>
                  </a:p>
                </c:rich>
              </c:tx>
              <c:showLegendKey val="0"/>
              <c:showVal val="1"/>
              <c:showCatName val="0"/>
              <c:showSerName val="0"/>
              <c:showPercent val="0"/>
              <c:showBubbleSize val="0"/>
              <c:extLst>
                <c:ext xmlns:c15="http://schemas.microsoft.com/office/drawing/2012/chart" uri="{CE6537A1-D6FC-4f65-9D91-7224C49458BB}">
                  <c15:layout>
                    <c:manualLayout>
                      <c:w val="5.6661654135338337E-2"/>
                      <c:h val="5.0396523970625239E-2"/>
                    </c:manualLayout>
                  </c15:layout>
                  <c15:showDataLabelsRange val="0"/>
                </c:ext>
                <c:ext xmlns:c16="http://schemas.microsoft.com/office/drawing/2014/chart" uri="{C3380CC4-5D6E-409C-BE32-E72D297353CC}">
                  <c16:uniqueId val="{0000000C-B253-4B0D-9427-A51932E29966}"/>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'1'!$I$11:$I$27</c:f>
              <c:numCache>
                <c:formatCode>General</c:formatCode>
                <c:ptCount val="17"/>
                <c:pt idx="0" formatCode="0.000">
                  <c:v>-7</c:v>
                </c:pt>
                <c:pt idx="1">
                  <c:v>-3.1254356150148532</c:v>
                </c:pt>
                <c:pt idx="2">
                  <c:v>-3.1254256150148532</c:v>
                </c:pt>
                <c:pt idx="3">
                  <c:v>-3.1254156150148531</c:v>
                </c:pt>
                <c:pt idx="4">
                  <c:v>-2.2897172539029453</c:v>
                </c:pt>
                <c:pt idx="5">
                  <c:v>-2.2897072539029453</c:v>
                </c:pt>
                <c:pt idx="6">
                  <c:v>-2.2896972539029452</c:v>
                </c:pt>
                <c:pt idx="7">
                  <c:v>-1.0000100000000001</c:v>
                </c:pt>
                <c:pt idx="8">
                  <c:v>-1</c:v>
                </c:pt>
                <c:pt idx="9">
                  <c:v>-0.99999000000000005</c:v>
                </c:pt>
                <c:pt idx="10">
                  <c:v>0.99999000000000005</c:v>
                </c:pt>
                <c:pt idx="11">
                  <c:v>1</c:v>
                </c:pt>
                <c:pt idx="12">
                  <c:v>1.0000100000000001</c:v>
                </c:pt>
                <c:pt idx="13">
                  <c:v>2.9999899999999999</c:v>
                </c:pt>
                <c:pt idx="14">
                  <c:v>3</c:v>
                </c:pt>
                <c:pt idx="15">
                  <c:v>3.0000100000000001</c:v>
                </c:pt>
                <c:pt idx="16">
                  <c:v>0</c:v>
                </c:pt>
              </c:numCache>
            </c:numRef>
          </c:xVal>
          <c:yVal>
            <c:numRef>
              <c:f>'1'!$J$11:$J$27</c:f>
              <c:numCache>
                <c:formatCode>General</c:formatCode>
                <c:ptCount val="17"/>
                <c:pt idx="0">
                  <c:v>0</c:v>
                </c:pt>
                <c:pt idx="1">
                  <c:v>0</c:v>
                </c:pt>
                <c:pt idx="2">
                  <c:v>2.3766511312502642E-2</c:v>
                </c:pt>
                <c:pt idx="3">
                  <c:v>0</c:v>
                </c:pt>
                <c:pt idx="4">
                  <c:v>0</c:v>
                </c:pt>
                <c:pt idx="5">
                  <c:v>5.1567820187685659E-2</c:v>
                </c:pt>
                <c:pt idx="6">
                  <c:v>0</c:v>
                </c:pt>
                <c:pt idx="7">
                  <c:v>0</c:v>
                </c:pt>
                <c:pt idx="8">
                  <c:v>0.12098536225957168</c:v>
                </c:pt>
                <c:pt idx="9">
                  <c:v>0</c:v>
                </c:pt>
                <c:pt idx="10">
                  <c:v>0</c:v>
                </c:pt>
                <c:pt idx="11">
                  <c:v>0.19947114020071635</c:v>
                </c:pt>
                <c:pt idx="12">
                  <c:v>0</c:v>
                </c:pt>
                <c:pt idx="13">
                  <c:v>0</c:v>
                </c:pt>
                <c:pt idx="14">
                  <c:v>0.12098536225957168</c:v>
                </c:pt>
                <c:pt idx="15">
                  <c:v>0</c:v>
                </c:pt>
                <c:pt idx="16">
                  <c:v>0</c:v>
                </c:pt>
              </c:numCache>
            </c:numRef>
          </c:yVal>
          <c:smooth val="0"/>
          <c:extLst>
            <c:ext xmlns:c16="http://schemas.microsoft.com/office/drawing/2014/chart" uri="{C3380CC4-5D6E-409C-BE32-E72D297353CC}">
              <c16:uniqueId val="{0000000D-B253-4B0D-9427-A51932E29966}"/>
            </c:ext>
          </c:extLst>
        </c:ser>
        <c:dLbls>
          <c:showLegendKey val="0"/>
          <c:showVal val="0"/>
          <c:showCatName val="0"/>
          <c:showSerName val="0"/>
          <c:showPercent val="0"/>
          <c:showBubbleSize val="0"/>
        </c:dLbls>
        <c:axId val="926866128"/>
        <c:axId val="926864816"/>
      </c:scatterChart>
      <c:valAx>
        <c:axId val="926866128"/>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one"/>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6128"/>
        <c:crosses val="autoZero"/>
        <c:crossBetween val="midCat"/>
      </c:valAx>
      <c:spPr>
        <a:noFill/>
        <a:ln>
          <a:noFill/>
        </a:ln>
        <a:effectLst/>
      </c:spPr>
    </c:plotArea>
    <c:legend>
      <c:legendPos val="b"/>
      <c:legendEntry>
        <c:idx val="2"/>
        <c:delete val="1"/>
      </c:legendEntry>
      <c:legendEntry>
        <c:idx val="3"/>
        <c:delete val="1"/>
      </c:legendEntry>
      <c:layout>
        <c:manualLayout>
          <c:xMode val="edge"/>
          <c:yMode val="edge"/>
          <c:x val="0.37796885915576345"/>
          <c:y val="0.9265923454373709"/>
          <c:w val="0.24460789769699839"/>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3959860280622818E-2"/>
          <c:y val="0.15167563263797046"/>
          <c:w val="0.93484214473190852"/>
          <c:h val="0.70031220818267481"/>
        </c:manualLayout>
      </c:layout>
      <c:scatterChart>
        <c:scatterStyle val="lineMarker"/>
        <c:varyColors val="0"/>
        <c:ser>
          <c:idx val="0"/>
          <c:order val="0"/>
          <c:tx>
            <c:strRef>
              <c:f>'2'!$C$14</c:f>
              <c:strCache>
                <c:ptCount val="1"/>
                <c:pt idx="0">
                  <c:v>Asset A</c:v>
                </c:pt>
              </c:strCache>
            </c:strRef>
          </c:tx>
          <c:spPr>
            <a:ln w="12700" cap="rnd">
              <a:solidFill>
                <a:srgbClr val="548BE9"/>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'2'!$C$15:$C$215</c:f>
              <c:numCache>
                <c:formatCode>0.0000</c:formatCode>
                <c:ptCount val="201"/>
                <c:pt idx="0">
                  <c:v>9.1347204083645936E-12</c:v>
                </c:pt>
                <c:pt idx="1">
                  <c:v>1.5940811515883886E-11</c:v>
                </c:pt>
                <c:pt idx="2">
                  <c:v>2.7640513661679543E-11</c:v>
                </c:pt>
                <c:pt idx="3">
                  <c:v>4.762141631915674E-11</c:v>
                </c:pt>
                <c:pt idx="4">
                  <c:v>8.1522787527000639E-11</c:v>
                </c:pt>
                <c:pt idx="5">
                  <c:v>1.3866799941653172E-10</c:v>
                </c:pt>
                <c:pt idx="6">
                  <c:v>2.3436566877932076E-10</c:v>
                </c:pt>
                <c:pt idx="7">
                  <c:v>3.9357930409014538E-10</c:v>
                </c:pt>
                <c:pt idx="8">
                  <c:v>6.5673630963611265E-10</c:v>
                </c:pt>
                <c:pt idx="9">
                  <c:v>1.088855673277068E-9</c:v>
                </c:pt>
                <c:pt idx="10">
                  <c:v>1.7937839079640922E-9</c:v>
                </c:pt>
                <c:pt idx="11">
                  <c:v>2.9362325198239412E-9</c:v>
                </c:pt>
                <c:pt idx="12">
                  <c:v>4.7756366922822924E-9</c:v>
                </c:pt>
                <c:pt idx="13">
                  <c:v>7.717784212570557E-9</c:v>
                </c:pt>
                <c:pt idx="14">
                  <c:v>1.2392944314150173E-8</c:v>
                </c:pt>
                <c:pt idx="15">
                  <c:v>1.9773196406244814E-8</c:v>
                </c:pt>
                <c:pt idx="16">
                  <c:v>3.1347273817919896E-8</c:v>
                </c:pt>
                <c:pt idx="17">
                  <c:v>4.9379102271104754E-8</c:v>
                </c:pt>
                <c:pt idx="18">
                  <c:v>7.7287118885229607E-8</c:v>
                </c:pt>
                <c:pt idx="19">
                  <c:v>1.2019642790628337E-7</c:v>
                </c:pt>
                <c:pt idx="20">
                  <c:v>1.8573618445553061E-7</c:v>
                </c:pt>
                <c:pt idx="21">
                  <c:v>2.8518192322840016E-7</c:v>
                </c:pt>
                <c:pt idx="22">
                  <c:v>4.3507886075151478E-7</c:v>
                </c:pt>
                <c:pt idx="23">
                  <c:v>6.595298968575275E-7</c:v>
                </c:pt>
                <c:pt idx="24">
                  <c:v>9.9339394133992092E-7</c:v>
                </c:pt>
                <c:pt idx="25">
                  <c:v>1.486719514734311E-6</c:v>
                </c:pt>
                <c:pt idx="26">
                  <c:v>2.2108388745684411E-6</c:v>
                </c:pt>
                <c:pt idx="27">
                  <c:v>3.2666729639933044E-6</c:v>
                </c:pt>
                <c:pt idx="28">
                  <c:v>4.7959510215525641E-6</c:v>
                </c:pt>
                <c:pt idx="29">
                  <c:v>6.996234143270455E-6</c:v>
                </c:pt>
                <c:pt idx="30">
                  <c:v>1.014085206548685E-5</c:v>
                </c:pt>
                <c:pt idx="31">
                  <c:v>1.4605118139153044E-5</c:v>
                </c:pt>
                <c:pt idx="32">
                  <c:v>2.0900477900450665E-5</c:v>
                </c:pt>
                <c:pt idx="33">
                  <c:v>2.9718567676442518E-5</c:v>
                </c:pt>
                <c:pt idx="34">
                  <c:v>4.1987502931617769E-5</c:v>
                </c:pt>
                <c:pt idx="35">
                  <c:v>5.8943067756540478E-5</c:v>
                </c:pt>
                <c:pt idx="36">
                  <c:v>8.221781653628687E-5</c:v>
                </c:pt>
                <c:pt idx="37">
                  <c:v>1.1395139806886584E-4</c:v>
                </c:pt>
                <c:pt idx="38">
                  <c:v>1.5692563406553394E-4</c:v>
                </c:pt>
                <c:pt idx="39">
                  <c:v>2.1472798150036932E-4</c:v>
                </c:pt>
                <c:pt idx="40">
                  <c:v>2.9194692579146342E-4</c:v>
                </c:pt>
                <c:pt idx="41">
                  <c:v>3.9440252496916083E-4</c:v>
                </c:pt>
                <c:pt idx="42">
                  <c:v>5.2941468309494082E-4</c:v>
                </c:pt>
                <c:pt idx="43">
                  <c:v>7.0611070048804379E-4</c:v>
                </c:pt>
                <c:pt idx="44">
                  <c:v>9.3577215692748964E-4</c:v>
                </c:pt>
                <c:pt idx="45">
                  <c:v>1.2322191684730329E-3</c:v>
                </c:pt>
                <c:pt idx="46">
                  <c:v>1.6122274719771418E-3</c:v>
                </c:pt>
                <c:pt idx="47">
                  <c:v>2.0959706128579657E-3</c:v>
                </c:pt>
                <c:pt idx="48">
                  <c:v>2.7074757568407311E-3</c:v>
                </c:pt>
                <c:pt idx="49">
                  <c:v>3.4750773778549752E-3</c:v>
                </c:pt>
                <c:pt idx="50">
                  <c:v>4.4318484119380544E-3</c:v>
                </c:pt>
                <c:pt idx="51">
                  <c:v>5.6159835959910236E-3</c:v>
                </c:pt>
                <c:pt idx="52">
                  <c:v>7.071104886019525E-3</c:v>
                </c:pt>
                <c:pt idx="53">
                  <c:v>8.8464543982373182E-3</c:v>
                </c:pt>
                <c:pt idx="54">
                  <c:v>1.0996936629405693E-2</c:v>
                </c:pt>
                <c:pt idx="55">
                  <c:v>1.3582969233685757E-2</c:v>
                </c:pt>
                <c:pt idx="56">
                  <c:v>1.6670100837381227E-2</c:v>
                </c:pt>
                <c:pt idx="57">
                  <c:v>2.0328355738226035E-2</c:v>
                </c:pt>
                <c:pt idx="58">
                  <c:v>2.4631269306382736E-2</c:v>
                </c:pt>
                <c:pt idx="59">
                  <c:v>2.9654584847341556E-2</c:v>
                </c:pt>
                <c:pt idx="60">
                  <c:v>3.5474592846231771E-2</c:v>
                </c:pt>
                <c:pt idx="61">
                  <c:v>4.2166106961770707E-2</c:v>
                </c:pt>
                <c:pt idx="62">
                  <c:v>4.9800087735071212E-2</c:v>
                </c:pt>
                <c:pt idx="63">
                  <c:v>5.8440944333451983E-2</c:v>
                </c:pt>
                <c:pt idx="64">
                  <c:v>6.8143566101045161E-2</c:v>
                </c:pt>
                <c:pt idx="65">
                  <c:v>7.8950158300894815E-2</c:v>
                </c:pt>
                <c:pt idx="66">
                  <c:v>9.0886979016283606E-2</c:v>
                </c:pt>
                <c:pt idx="67">
                  <c:v>0.103961095328765</c:v>
                </c:pt>
                <c:pt idx="68">
                  <c:v>0.11815729505958315</c:v>
                </c:pt>
                <c:pt idx="69">
                  <c:v>0.13343530395100325</c:v>
                </c:pt>
                <c:pt idx="70">
                  <c:v>0.1497274656357459</c:v>
                </c:pt>
                <c:pt idx="71">
                  <c:v>0.16693704174171495</c:v>
                </c:pt>
                <c:pt idx="72">
                  <c:v>0.18493728096330647</c:v>
                </c:pt>
                <c:pt idx="73">
                  <c:v>0.20357138829076069</c:v>
                </c:pt>
                <c:pt idx="74">
                  <c:v>0.22265349875176244</c:v>
                </c:pt>
                <c:pt idx="75">
                  <c:v>0.24197072451914464</c:v>
                </c:pt>
                <c:pt idx="76">
                  <c:v>0.26128630124955438</c:v>
                </c:pt>
                <c:pt idx="77">
                  <c:v>0.28034381083962179</c:v>
                </c:pt>
                <c:pt idx="78">
                  <c:v>0.29887240577595398</c:v>
                </c:pt>
                <c:pt idx="79">
                  <c:v>0.31659290771089388</c:v>
                </c:pt>
                <c:pt idx="80">
                  <c:v>0.33322460289180067</c:v>
                </c:pt>
                <c:pt idx="81">
                  <c:v>0.34849251275897541</c:v>
                </c:pt>
                <c:pt idx="82">
                  <c:v>0.36213488241309305</c:v>
                </c:pt>
                <c:pt idx="83">
                  <c:v>0.37391060537312909</c:v>
                </c:pt>
                <c:pt idx="84">
                  <c:v>0.38360629215347908</c:v>
                </c:pt>
                <c:pt idx="85">
                  <c:v>0.39104269397545627</c:v>
                </c:pt>
                <c:pt idx="86">
                  <c:v>0.39608021179365632</c:v>
                </c:pt>
                <c:pt idx="87">
                  <c:v>0.39862325420460509</c:v>
                </c:pt>
                <c:pt idx="88">
                  <c:v>0.39862325420460493</c:v>
                </c:pt>
                <c:pt idx="89">
                  <c:v>0.39608021179365582</c:v>
                </c:pt>
                <c:pt idx="90">
                  <c:v>0.39104269397545549</c:v>
                </c:pt>
                <c:pt idx="91">
                  <c:v>0.38360629215347797</c:v>
                </c:pt>
                <c:pt idx="92">
                  <c:v>0.3739106053731277</c:v>
                </c:pt>
                <c:pt idx="93">
                  <c:v>0.36213488241309144</c:v>
                </c:pt>
                <c:pt idx="94">
                  <c:v>0.34849251275897358</c:v>
                </c:pt>
                <c:pt idx="95">
                  <c:v>0.33322460289179862</c:v>
                </c:pt>
                <c:pt idx="96">
                  <c:v>0.31659290771089171</c:v>
                </c:pt>
                <c:pt idx="97">
                  <c:v>0.29887240577595164</c:v>
                </c:pt>
                <c:pt idx="98">
                  <c:v>0.2803438108396194</c:v>
                </c:pt>
                <c:pt idx="99">
                  <c:v>0.26128630124955199</c:v>
                </c:pt>
                <c:pt idx="100">
                  <c:v>0.24197072451914217</c:v>
                </c:pt>
                <c:pt idx="101">
                  <c:v>0.22265349875175994</c:v>
                </c:pt>
                <c:pt idx="102">
                  <c:v>0.20357138829075824</c:v>
                </c:pt>
                <c:pt idx="103">
                  <c:v>0.18493728096330411</c:v>
                </c:pt>
                <c:pt idx="104">
                  <c:v>0.16693704174171267</c:v>
                </c:pt>
                <c:pt idx="105">
                  <c:v>0.14972746563574377</c:v>
                </c:pt>
                <c:pt idx="106">
                  <c:v>0.13343530395100123</c:v>
                </c:pt>
                <c:pt idx="107">
                  <c:v>0.11815729505958129</c:v>
                </c:pt>
                <c:pt idx="108">
                  <c:v>0.10396109532876328</c:v>
                </c:pt>
                <c:pt idx="109">
                  <c:v>9.088697901628201E-2</c:v>
                </c:pt>
                <c:pt idx="110">
                  <c:v>7.8950158300893358E-2</c:v>
                </c:pt>
                <c:pt idx="111">
                  <c:v>6.8143566101043843E-2</c:v>
                </c:pt>
                <c:pt idx="112">
                  <c:v>5.844094433345081E-2</c:v>
                </c:pt>
                <c:pt idx="113">
                  <c:v>4.9800087735070171E-2</c:v>
                </c:pt>
                <c:pt idx="114">
                  <c:v>4.2166106961769804E-2</c:v>
                </c:pt>
                <c:pt idx="115">
                  <c:v>3.5474592846230966E-2</c:v>
                </c:pt>
                <c:pt idx="116">
                  <c:v>2.9654584847340858E-2</c:v>
                </c:pt>
                <c:pt idx="117">
                  <c:v>2.4631269306382146E-2</c:v>
                </c:pt>
                <c:pt idx="118">
                  <c:v>2.0328355738225532E-2</c:v>
                </c:pt>
                <c:pt idx="119">
                  <c:v>1.66701008373808E-2</c:v>
                </c:pt>
                <c:pt idx="120">
                  <c:v>1.3582969233685398E-2</c:v>
                </c:pt>
                <c:pt idx="121">
                  <c:v>1.0996936629405391E-2</c:v>
                </c:pt>
                <c:pt idx="122">
                  <c:v>8.846454398237065E-3</c:v>
                </c:pt>
                <c:pt idx="123">
                  <c:v>7.0711048860193169E-3</c:v>
                </c:pt>
                <c:pt idx="124">
                  <c:v>5.6159835959908588E-3</c:v>
                </c:pt>
                <c:pt idx="125">
                  <c:v>4.4318484119379208E-3</c:v>
                </c:pt>
                <c:pt idx="126">
                  <c:v>3.4750773778548637E-3</c:v>
                </c:pt>
                <c:pt idx="127">
                  <c:v>2.7074757568406448E-3</c:v>
                </c:pt>
                <c:pt idx="128">
                  <c:v>2.0959706128578972E-3</c:v>
                </c:pt>
                <c:pt idx="129">
                  <c:v>1.6122274719770873E-3</c:v>
                </c:pt>
                <c:pt idx="130">
                  <c:v>1.2322191684729894E-3</c:v>
                </c:pt>
                <c:pt idx="131">
                  <c:v>9.3577215692745635E-4</c:v>
                </c:pt>
                <c:pt idx="132">
                  <c:v>7.0611070048801864E-4</c:v>
                </c:pt>
                <c:pt idx="133">
                  <c:v>5.2941468309492098E-4</c:v>
                </c:pt>
                <c:pt idx="134">
                  <c:v>3.9440252496914576E-4</c:v>
                </c:pt>
                <c:pt idx="135">
                  <c:v>2.9194692579145198E-4</c:v>
                </c:pt>
                <c:pt idx="136">
                  <c:v>2.1472798150036073E-4</c:v>
                </c:pt>
                <c:pt idx="137">
                  <c:v>1.5692563406552752E-4</c:v>
                </c:pt>
                <c:pt idx="138">
                  <c:v>1.1395139806886138E-4</c:v>
                </c:pt>
                <c:pt idx="139">
                  <c:v>8.2217816536283509E-5</c:v>
                </c:pt>
                <c:pt idx="140">
                  <c:v>5.8943067756538066E-5</c:v>
                </c:pt>
                <c:pt idx="141">
                  <c:v>4.198750293161598E-5</c:v>
                </c:pt>
                <c:pt idx="142">
                  <c:v>2.971856767644125E-5</c:v>
                </c:pt>
                <c:pt idx="143">
                  <c:v>2.090047790044974E-5</c:v>
                </c:pt>
                <c:pt idx="144">
                  <c:v>1.4605118139152395E-5</c:v>
                </c:pt>
                <c:pt idx="145">
                  <c:v>1.0140852065486381E-5</c:v>
                </c:pt>
                <c:pt idx="146">
                  <c:v>6.9962341432701441E-6</c:v>
                </c:pt>
                <c:pt idx="147">
                  <c:v>4.7959510215523421E-6</c:v>
                </c:pt>
                <c:pt idx="148">
                  <c:v>3.2666729639931473E-6</c:v>
                </c:pt>
                <c:pt idx="149">
                  <c:v>2.2108388745683348E-6</c:v>
                </c:pt>
                <c:pt idx="150">
                  <c:v>1.4867195147342397E-6</c:v>
                </c:pt>
                <c:pt idx="151">
                  <c:v>9.9339394133987137E-7</c:v>
                </c:pt>
                <c:pt idx="152">
                  <c:v>6.5952989685749467E-7</c:v>
                </c:pt>
                <c:pt idx="153">
                  <c:v>4.3507886075149313E-7</c:v>
                </c:pt>
                <c:pt idx="154">
                  <c:v>2.8518192322838544E-7</c:v>
                </c:pt>
                <c:pt idx="155">
                  <c:v>1.8573618445552105E-7</c:v>
                </c:pt>
                <c:pt idx="156">
                  <c:v>1.2019642790627696E-7</c:v>
                </c:pt>
                <c:pt idx="157">
                  <c:v>7.7287118885225359E-8</c:v>
                </c:pt>
                <c:pt idx="158">
                  <c:v>4.9379102271102028E-8</c:v>
                </c:pt>
                <c:pt idx="159">
                  <c:v>3.1347273817918122E-8</c:v>
                </c:pt>
                <c:pt idx="160">
                  <c:v>1.9773196406243689E-8</c:v>
                </c:pt>
                <c:pt idx="161">
                  <c:v>1.2392944314149468E-8</c:v>
                </c:pt>
                <c:pt idx="162">
                  <c:v>7.7177842125701169E-9</c:v>
                </c:pt>
                <c:pt idx="163">
                  <c:v>4.7756366922820211E-9</c:v>
                </c:pt>
                <c:pt idx="164">
                  <c:v>2.9362325198237642E-9</c:v>
                </c:pt>
                <c:pt idx="165">
                  <c:v>1.7937839079639841E-9</c:v>
                </c:pt>
                <c:pt idx="166">
                  <c:v>1.088855673277002E-9</c:v>
                </c:pt>
                <c:pt idx="167">
                  <c:v>6.5673630963607057E-10</c:v>
                </c:pt>
                <c:pt idx="168">
                  <c:v>3.935793040901202E-10</c:v>
                </c:pt>
                <c:pt idx="169">
                  <c:v>2.3436566877930577E-10</c:v>
                </c:pt>
                <c:pt idx="170">
                  <c:v>1.3866799941652283E-10</c:v>
                </c:pt>
                <c:pt idx="171">
                  <c:v>8.152278752699543E-11</c:v>
                </c:pt>
                <c:pt idx="172">
                  <c:v>4.7621416319153522E-11</c:v>
                </c:pt>
                <c:pt idx="173">
                  <c:v>2.7640513661677676E-11</c:v>
                </c:pt>
                <c:pt idx="174">
                  <c:v>1.594081151588281E-11</c:v>
                </c:pt>
                <c:pt idx="175">
                  <c:v>9.1347204083639765E-12</c:v>
                </c:pt>
                <c:pt idx="176">
                  <c:v>5.20116470752682E-12</c:v>
                </c:pt>
                <c:pt idx="177">
                  <c:v>2.9425677446964943E-12</c:v>
                </c:pt>
                <c:pt idx="178">
                  <c:v>1.6541422271609854E-12</c:v>
                </c:pt>
                <c:pt idx="179">
                  <c:v>9.2393143256359462E-13</c:v>
                </c:pt>
                <c:pt idx="180">
                  <c:v>5.1277536367962984E-13</c:v>
                </c:pt>
                <c:pt idx="181">
                  <c:v>2.8277113542206153E-13</c:v>
                </c:pt>
                <c:pt idx="182">
                  <c:v>1.5493998706284821E-13</c:v>
                </c:pt>
                <c:pt idx="183">
                  <c:v>8.4355318664098694E-14</c:v>
                </c:pt>
                <c:pt idx="184">
                  <c:v>4.5633306778375222E-14</c:v>
                </c:pt>
                <c:pt idx="185">
                  <c:v>2.4528552856962235E-14</c:v>
                </c:pt>
                <c:pt idx="186">
                  <c:v>1.3100335776937822E-14</c:v>
                </c:pt>
                <c:pt idx="187">
                  <c:v>6.9520589097098071E-15</c:v>
                </c:pt>
                <c:pt idx="188">
                  <c:v>3.6657679945909811E-15</c:v>
                </c:pt>
                <c:pt idx="189">
                  <c:v>1.9206004311443907E-15</c:v>
                </c:pt>
                <c:pt idx="190">
                  <c:v>9.9983787484963254E-16</c:v>
                </c:pt>
                <c:pt idx="191">
                  <c:v>5.1718111933301017E-16</c:v>
                </c:pt>
                <c:pt idx="192">
                  <c:v>2.6581302303291584E-16</c:v>
                </c:pt>
                <c:pt idx="193">
                  <c:v>1.357470382217088E-16</c:v>
                </c:pt>
                <c:pt idx="194">
                  <c:v>6.8881879111195821E-17</c:v>
                </c:pt>
                <c:pt idx="195">
                  <c:v>3.4729627485658871E-17</c:v>
                </c:pt>
                <c:pt idx="196">
                  <c:v>1.7398659111404616E-17</c:v>
                </c:pt>
                <c:pt idx="197">
                  <c:v>8.6606791274923575E-18</c:v>
                </c:pt>
                <c:pt idx="198">
                  <c:v>4.2835972719622515E-18</c:v>
                </c:pt>
                <c:pt idx="199">
                  <c:v>2.1051635091806506E-18</c:v>
                </c:pt>
                <c:pt idx="200">
                  <c:v>1.0279773571668917E-18</c:v>
                </c:pt>
              </c:numCache>
            </c:numRef>
          </c:yVal>
          <c:smooth val="0"/>
          <c:extLst>
            <c:ext xmlns:c16="http://schemas.microsoft.com/office/drawing/2014/chart" uri="{C3380CC4-5D6E-409C-BE32-E72D297353CC}">
              <c16:uniqueId val="{00000000-C399-427C-9CE9-0B67DF155AAB}"/>
            </c:ext>
          </c:extLst>
        </c:ser>
        <c:ser>
          <c:idx val="1"/>
          <c:order val="1"/>
          <c:tx>
            <c:strRef>
              <c:f>'2'!$D$14</c:f>
              <c:strCache>
                <c:ptCount val="1"/>
                <c:pt idx="0">
                  <c:v>Asset B</c:v>
                </c:pt>
              </c:strCache>
            </c:strRef>
          </c:tx>
          <c:spPr>
            <a:ln w="12700" cap="rnd">
              <a:solidFill>
                <a:srgbClr val="E6BE8A"/>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'2'!$D$15:$D$215</c:f>
              <c:numCache>
                <c:formatCode>0.0000</c:formatCode>
                <c:ptCount val="201"/>
                <c:pt idx="0">
                  <c:v>6.6915112882442684E-5</c:v>
                </c:pt>
                <c:pt idx="1">
                  <c:v>7.8462817032766131E-5</c:v>
                </c:pt>
                <c:pt idx="2">
                  <c:v>9.1856249001228554E-5</c:v>
                </c:pt>
                <c:pt idx="3">
                  <c:v>1.0736399075018352E-4</c:v>
                </c:pt>
                <c:pt idx="4">
                  <c:v>1.2528922244543037E-4</c:v>
                </c:pt>
                <c:pt idx="5">
                  <c:v>1.4597346289573014E-4</c:v>
                </c:pt>
                <c:pt idx="6">
                  <c:v>1.6980060624182739E-4</c:v>
                </c:pt>
                <c:pt idx="7">
                  <c:v>1.9720126248457846E-4</c:v>
                </c:pt>
                <c:pt idx="8">
                  <c:v>2.2865740702992881E-4</c:v>
                </c:pt>
                <c:pt idx="9">
                  <c:v>2.6470734154746781E-4</c:v>
                </c:pt>
                <c:pt idx="10">
                  <c:v>3.0595096505688649E-4</c:v>
                </c:pt>
                <c:pt idx="11">
                  <c:v>3.5305535024401875E-4</c:v>
                </c:pt>
                <c:pt idx="12">
                  <c:v>4.0676061554090459E-4</c:v>
                </c:pt>
                <c:pt idx="13">
                  <c:v>4.6788607846374064E-4</c:v>
                </c:pt>
                <c:pt idx="14">
                  <c:v>5.3733667007686836E-4</c:v>
                </c:pt>
                <c:pt idx="15">
                  <c:v>6.1610958423651051E-4</c:v>
                </c:pt>
                <c:pt idx="16">
                  <c:v>7.0530112847069304E-4</c:v>
                </c:pt>
                <c:pt idx="17">
                  <c:v>8.0611373598856373E-4</c:v>
                </c:pt>
                <c:pt idx="18">
                  <c:v>9.1986309041214125E-4</c:v>
                </c:pt>
                <c:pt idx="19">
                  <c:v>1.0479853064289746E-3</c:v>
                </c:pt>
                <c:pt idx="20">
                  <c:v>1.1920441007324243E-3</c:v>
                </c:pt>
                <c:pt idx="21">
                  <c:v>1.3537378784203549E-3</c:v>
                </c:pt>
                <c:pt idx="22">
                  <c:v>1.5349066505523743E-3</c:v>
                </c:pt>
                <c:pt idx="23">
                  <c:v>1.7375386889274737E-3</c:v>
                </c:pt>
                <c:pt idx="24">
                  <c:v>1.9637768144623946E-3</c:v>
                </c:pt>
                <c:pt idx="25">
                  <c:v>2.2159242059690094E-3</c:v>
                </c:pt>
                <c:pt idx="26">
                  <c:v>2.4964496068061947E-3</c:v>
                </c:pt>
                <c:pt idx="27">
                  <c:v>2.8079917979954919E-3</c:v>
                </c:pt>
                <c:pt idx="28">
                  <c:v>3.1533631981329724E-3</c:v>
                </c:pt>
                <c:pt idx="29">
                  <c:v>3.5355524430097339E-3</c:v>
                </c:pt>
                <c:pt idx="30">
                  <c:v>3.9577257914899947E-3</c:v>
                </c:pt>
                <c:pt idx="31">
                  <c:v>4.4232271991186253E-3</c:v>
                </c:pt>
                <c:pt idx="32">
                  <c:v>4.935576897375585E-3</c:v>
                </c:pt>
                <c:pt idx="33">
                  <c:v>5.4984683147028058E-3</c:v>
                </c:pt>
                <c:pt idx="34">
                  <c:v>6.1157631756390066E-3</c:v>
                </c:pt>
                <c:pt idx="35">
                  <c:v>6.7914846168428307E-3</c:v>
                </c:pt>
                <c:pt idx="36">
                  <c:v>7.5298081636887525E-3</c:v>
                </c:pt>
                <c:pt idx="37">
                  <c:v>8.335050418690558E-3</c:v>
                </c:pt>
                <c:pt idx="38">
                  <c:v>9.2116553234310571E-3</c:v>
                </c:pt>
                <c:pt idx="39">
                  <c:v>1.016417786911295E-2</c:v>
                </c:pt>
                <c:pt idx="40">
                  <c:v>1.1197265147421484E-2</c:v>
                </c:pt>
                <c:pt idx="41">
                  <c:v>1.2315634653191292E-2</c:v>
                </c:pt>
                <c:pt idx="42">
                  <c:v>1.3524049773440936E-2</c:v>
                </c:pt>
                <c:pt idx="43">
                  <c:v>1.4827292423670686E-2</c:v>
                </c:pt>
                <c:pt idx="44">
                  <c:v>1.6230132821848785E-2</c:v>
                </c:pt>
                <c:pt idx="45">
                  <c:v>1.7737296423115785E-2</c:v>
                </c:pt>
                <c:pt idx="46">
                  <c:v>1.9353428073727873E-2</c:v>
                </c:pt>
                <c:pt idx="47">
                  <c:v>2.1083053480885239E-2</c:v>
                </c:pt>
                <c:pt idx="48">
                  <c:v>2.2930538135527537E-2</c:v>
                </c:pt>
                <c:pt idx="49">
                  <c:v>2.4900043867535474E-2</c:v>
                </c:pt>
                <c:pt idx="50">
                  <c:v>2.6995483256594125E-2</c:v>
                </c:pt>
                <c:pt idx="51">
                  <c:v>2.9220472166725835E-2</c:v>
                </c:pt>
                <c:pt idx="52">
                  <c:v>3.1578280717599438E-2</c:v>
                </c:pt>
                <c:pt idx="53">
                  <c:v>3.40717830505224E-2</c:v>
                </c:pt>
                <c:pt idx="54">
                  <c:v>3.670340629082857E-2</c:v>
                </c:pt>
                <c:pt idx="55">
                  <c:v>3.9475079150447213E-2</c:v>
                </c:pt>
                <c:pt idx="56">
                  <c:v>4.2388180654011266E-2</c:v>
                </c:pt>
                <c:pt idx="57">
                  <c:v>4.5443489508141588E-2</c:v>
                </c:pt>
                <c:pt idx="58">
                  <c:v>4.8641134665733922E-2</c:v>
                </c:pt>
                <c:pt idx="59">
                  <c:v>5.1980547664382273E-2</c:v>
                </c:pt>
                <c:pt idx="60">
                  <c:v>5.5460417339727959E-2</c:v>
                </c:pt>
                <c:pt idx="61">
                  <c:v>5.9078647529791348E-2</c:v>
                </c:pt>
                <c:pt idx="62">
                  <c:v>6.2832318394544284E-2</c:v>
                </c:pt>
                <c:pt idx="63">
                  <c:v>6.6717651975501377E-2</c:v>
                </c:pt>
                <c:pt idx="64">
                  <c:v>7.0729982612419612E-2</c:v>
                </c:pt>
                <c:pt idx="65">
                  <c:v>7.4863732817872675E-2</c:v>
                </c:pt>
                <c:pt idx="66">
                  <c:v>7.9112395185191767E-2</c:v>
                </c:pt>
                <c:pt idx="67">
                  <c:v>8.3468520870857169E-2</c:v>
                </c:pt>
                <c:pt idx="68">
                  <c:v>8.7923715148831447E-2</c:v>
                </c:pt>
                <c:pt idx="69">
                  <c:v>9.2468640481652931E-2</c:v>
                </c:pt>
                <c:pt idx="70">
                  <c:v>9.7093027491606768E-2</c:v>
                </c:pt>
                <c:pt idx="71">
                  <c:v>0.10178569414538001</c:v>
                </c:pt>
                <c:pt idx="72">
                  <c:v>0.10653457338785925</c:v>
                </c:pt>
                <c:pt idx="73">
                  <c:v>0.11132674937588088</c:v>
                </c:pt>
                <c:pt idx="74">
                  <c:v>0.11614850237168342</c:v>
                </c:pt>
                <c:pt idx="75">
                  <c:v>0.12098536225957202</c:v>
                </c:pt>
                <c:pt idx="76">
                  <c:v>0.12582217054905886</c:v>
                </c:pt>
                <c:pt idx="77">
                  <c:v>0.13064315062477685</c:v>
                </c:pt>
                <c:pt idx="78">
                  <c:v>0.13543198589916933</c:v>
                </c:pt>
                <c:pt idx="79">
                  <c:v>0.14017190541981059</c:v>
                </c:pt>
                <c:pt idx="80">
                  <c:v>0.14484577638074167</c:v>
                </c:pt>
                <c:pt idx="81">
                  <c:v>0.14943620288797665</c:v>
                </c:pt>
                <c:pt idx="82">
                  <c:v>0.15392563023492675</c:v>
                </c:pt>
                <c:pt idx="83">
                  <c:v>0.15829645385544666</c:v>
                </c:pt>
                <c:pt idx="84">
                  <c:v>0.16253113204204134</c:v>
                </c:pt>
                <c:pt idx="85">
                  <c:v>0.16661230144590009</c:v>
                </c:pt>
                <c:pt idx="86">
                  <c:v>0.17052289431517653</c:v>
                </c:pt>
                <c:pt idx="87">
                  <c:v>0.17424625637948749</c:v>
                </c:pt>
                <c:pt idx="88">
                  <c:v>0.17776626425299877</c:v>
                </c:pt>
                <c:pt idx="89">
                  <c:v>0.1810674412065463</c:v>
                </c:pt>
                <c:pt idx="90">
                  <c:v>0.18413507015166186</c:v>
                </c:pt>
                <c:pt idx="91">
                  <c:v>0.18695530268656435</c:v>
                </c:pt>
                <c:pt idx="92">
                  <c:v>0.189515263076351</c:v>
                </c:pt>
                <c:pt idx="93">
                  <c:v>0.1918031460767394</c:v>
                </c:pt>
                <c:pt idx="94">
                  <c:v>0.19380830756250719</c:v>
                </c:pt>
                <c:pt idx="95">
                  <c:v>0.19552134698772805</c:v>
                </c:pt>
                <c:pt idx="96">
                  <c:v>0.1969341807842705</c:v>
                </c:pt>
                <c:pt idx="97">
                  <c:v>0.19804010589682811</c:v>
                </c:pt>
                <c:pt idx="98">
                  <c:v>0.19883385275580448</c:v>
                </c:pt>
                <c:pt idx="99">
                  <c:v>0.19931162710230252</c:v>
                </c:pt>
                <c:pt idx="100">
                  <c:v>0.19947114020071635</c:v>
                </c:pt>
                <c:pt idx="101">
                  <c:v>0.19931162710230249</c:v>
                </c:pt>
                <c:pt idx="102">
                  <c:v>0.19883385275580442</c:v>
                </c:pt>
                <c:pt idx="103">
                  <c:v>0.19804010589682799</c:v>
                </c:pt>
                <c:pt idx="104">
                  <c:v>0.19693418078427033</c:v>
                </c:pt>
                <c:pt idx="105">
                  <c:v>0.19552134698772786</c:v>
                </c:pt>
                <c:pt idx="106">
                  <c:v>0.19380830756250694</c:v>
                </c:pt>
                <c:pt idx="107">
                  <c:v>0.19180314607673912</c:v>
                </c:pt>
                <c:pt idx="108">
                  <c:v>0.18951526307635069</c:v>
                </c:pt>
                <c:pt idx="109">
                  <c:v>0.18695530268656402</c:v>
                </c:pt>
                <c:pt idx="110">
                  <c:v>0.18413507015166147</c:v>
                </c:pt>
                <c:pt idx="111">
                  <c:v>0.18106744120654589</c:v>
                </c:pt>
                <c:pt idx="112">
                  <c:v>0.1777662642529983</c:v>
                </c:pt>
                <c:pt idx="113">
                  <c:v>0.17424625637948701</c:v>
                </c:pt>
                <c:pt idx="114">
                  <c:v>0.170522894315176</c:v>
                </c:pt>
                <c:pt idx="115">
                  <c:v>0.16661230144589953</c:v>
                </c:pt>
                <c:pt idx="116">
                  <c:v>0.16253113204204075</c:v>
                </c:pt>
                <c:pt idx="117">
                  <c:v>0.15829645385544608</c:v>
                </c:pt>
                <c:pt idx="118">
                  <c:v>0.15392563023492611</c:v>
                </c:pt>
                <c:pt idx="119">
                  <c:v>0.14943620288797602</c:v>
                </c:pt>
                <c:pt idx="120">
                  <c:v>0.144845776380741</c:v>
                </c:pt>
                <c:pt idx="121">
                  <c:v>0.14017190541980989</c:v>
                </c:pt>
                <c:pt idx="122">
                  <c:v>0.13543198589916863</c:v>
                </c:pt>
                <c:pt idx="123">
                  <c:v>0.13064315062477619</c:v>
                </c:pt>
                <c:pt idx="124">
                  <c:v>0.12582217054905817</c:v>
                </c:pt>
                <c:pt idx="125">
                  <c:v>0.12098536225957128</c:v>
                </c:pt>
                <c:pt idx="126">
                  <c:v>0.1161485023716827</c:v>
                </c:pt>
                <c:pt idx="127">
                  <c:v>0.11132674937588015</c:v>
                </c:pt>
                <c:pt idx="128">
                  <c:v>0.10653457338785852</c:v>
                </c:pt>
                <c:pt idx="129">
                  <c:v>0.1017856941453793</c:v>
                </c:pt>
                <c:pt idx="130">
                  <c:v>9.7093027491606074E-2</c:v>
                </c:pt>
                <c:pt idx="131">
                  <c:v>9.2468640481652251E-2</c:v>
                </c:pt>
                <c:pt idx="132">
                  <c:v>8.7923715148830781E-2</c:v>
                </c:pt>
                <c:pt idx="133">
                  <c:v>8.3468520870856516E-2</c:v>
                </c:pt>
                <c:pt idx="134">
                  <c:v>7.9112395185191128E-2</c:v>
                </c:pt>
                <c:pt idx="135">
                  <c:v>7.4863732817872036E-2</c:v>
                </c:pt>
                <c:pt idx="136">
                  <c:v>7.0729982612419015E-2</c:v>
                </c:pt>
                <c:pt idx="137">
                  <c:v>6.671765197550078E-2</c:v>
                </c:pt>
                <c:pt idx="138">
                  <c:v>6.2832318394543743E-2</c:v>
                </c:pt>
                <c:pt idx="139">
                  <c:v>5.90786475297908E-2</c:v>
                </c:pt>
                <c:pt idx="140">
                  <c:v>5.5460417339727459E-2</c:v>
                </c:pt>
                <c:pt idx="141">
                  <c:v>5.1980547664381788E-2</c:v>
                </c:pt>
                <c:pt idx="142">
                  <c:v>4.864113466573345E-2</c:v>
                </c:pt>
                <c:pt idx="143">
                  <c:v>4.544348950814113E-2</c:v>
                </c:pt>
                <c:pt idx="144">
                  <c:v>4.2388180654010836E-2</c:v>
                </c:pt>
                <c:pt idx="145">
                  <c:v>3.9475079150446818E-2</c:v>
                </c:pt>
                <c:pt idx="146">
                  <c:v>3.6703406290828182E-2</c:v>
                </c:pt>
                <c:pt idx="147">
                  <c:v>3.4071783050522046E-2</c:v>
                </c:pt>
                <c:pt idx="148">
                  <c:v>3.1578280717599091E-2</c:v>
                </c:pt>
                <c:pt idx="149">
                  <c:v>2.9220472166725502E-2</c:v>
                </c:pt>
                <c:pt idx="150">
                  <c:v>2.6995483256593813E-2</c:v>
                </c:pt>
                <c:pt idx="151">
                  <c:v>2.4900043867535176E-2</c:v>
                </c:pt>
                <c:pt idx="152">
                  <c:v>2.2930538135527249E-2</c:v>
                </c:pt>
                <c:pt idx="153">
                  <c:v>2.1083053480884975E-2</c:v>
                </c:pt>
                <c:pt idx="154">
                  <c:v>1.9353428073727631E-2</c:v>
                </c:pt>
                <c:pt idx="155">
                  <c:v>1.7737296423115553E-2</c:v>
                </c:pt>
                <c:pt idx="156">
                  <c:v>1.6230132821848577E-2</c:v>
                </c:pt>
                <c:pt idx="157">
                  <c:v>1.4827292423670495E-2</c:v>
                </c:pt>
                <c:pt idx="158">
                  <c:v>1.3524049773440756E-2</c:v>
                </c:pt>
                <c:pt idx="159">
                  <c:v>1.2315634653191122E-2</c:v>
                </c:pt>
                <c:pt idx="160">
                  <c:v>1.119726514742133E-2</c:v>
                </c:pt>
                <c:pt idx="161">
                  <c:v>1.0164177869112809E-2</c:v>
                </c:pt>
                <c:pt idx="162">
                  <c:v>9.2116553234309253E-3</c:v>
                </c:pt>
                <c:pt idx="163">
                  <c:v>8.3350504186904349E-3</c:v>
                </c:pt>
                <c:pt idx="164">
                  <c:v>7.5298081636886388E-3</c:v>
                </c:pt>
                <c:pt idx="165">
                  <c:v>6.7914846168427275E-3</c:v>
                </c:pt>
                <c:pt idx="166">
                  <c:v>6.1157631756389146E-3</c:v>
                </c:pt>
                <c:pt idx="167">
                  <c:v>5.4984683147027225E-3</c:v>
                </c:pt>
                <c:pt idx="168">
                  <c:v>4.9355768973755069E-3</c:v>
                </c:pt>
                <c:pt idx="169">
                  <c:v>4.423227199118555E-3</c:v>
                </c:pt>
                <c:pt idx="170">
                  <c:v>3.9577257914899296E-3</c:v>
                </c:pt>
                <c:pt idx="171">
                  <c:v>3.5355524430096771E-3</c:v>
                </c:pt>
                <c:pt idx="172">
                  <c:v>3.1533631981329191E-3</c:v>
                </c:pt>
                <c:pt idx="173">
                  <c:v>2.8079917979954446E-3</c:v>
                </c:pt>
                <c:pt idx="174">
                  <c:v>2.4964496068061526E-3</c:v>
                </c:pt>
                <c:pt idx="175">
                  <c:v>2.2159242059689721E-3</c:v>
                </c:pt>
                <c:pt idx="176">
                  <c:v>1.9637768144623599E-3</c:v>
                </c:pt>
                <c:pt idx="177">
                  <c:v>1.7375386889274429E-3</c:v>
                </c:pt>
                <c:pt idx="178">
                  <c:v>1.534906650552347E-3</c:v>
                </c:pt>
                <c:pt idx="179">
                  <c:v>1.3537378784203296E-3</c:v>
                </c:pt>
                <c:pt idx="180">
                  <c:v>1.1920441007324022E-3</c:v>
                </c:pt>
                <c:pt idx="181">
                  <c:v>1.0479853064289551E-3</c:v>
                </c:pt>
                <c:pt idx="182">
                  <c:v>9.1986309041212412E-4</c:v>
                </c:pt>
                <c:pt idx="183">
                  <c:v>8.06113735988548E-4</c:v>
                </c:pt>
                <c:pt idx="184">
                  <c:v>7.0530112847067927E-4</c:v>
                </c:pt>
                <c:pt idx="185">
                  <c:v>6.1610958423649847E-4</c:v>
                </c:pt>
                <c:pt idx="186">
                  <c:v>5.3733667007685774E-4</c:v>
                </c:pt>
                <c:pt idx="187">
                  <c:v>4.6788607846373116E-4</c:v>
                </c:pt>
                <c:pt idx="188">
                  <c:v>4.0676061554089694E-4</c:v>
                </c:pt>
                <c:pt idx="189">
                  <c:v>3.5305535024401181E-4</c:v>
                </c:pt>
                <c:pt idx="190">
                  <c:v>3.0595096505688053E-4</c:v>
                </c:pt>
                <c:pt idx="191">
                  <c:v>2.6470734154746266E-4</c:v>
                </c:pt>
                <c:pt idx="192">
                  <c:v>2.2865740702992415E-4</c:v>
                </c:pt>
                <c:pt idx="193">
                  <c:v>1.9720126248457461E-4</c:v>
                </c:pt>
                <c:pt idx="194">
                  <c:v>1.6980060624182408E-4</c:v>
                </c:pt>
                <c:pt idx="195">
                  <c:v>1.4597346289572729E-4</c:v>
                </c:pt>
                <c:pt idx="196">
                  <c:v>1.2528922244542783E-4</c:v>
                </c:pt>
                <c:pt idx="197">
                  <c:v>1.0736399075018131E-4</c:v>
                </c:pt>
                <c:pt idx="198">
                  <c:v>9.1856249001226589E-5</c:v>
                </c:pt>
                <c:pt idx="199">
                  <c:v>7.8462817032764451E-5</c:v>
                </c:pt>
                <c:pt idx="200">
                  <c:v>6.6915112882442684E-5</c:v>
                </c:pt>
              </c:numCache>
            </c:numRef>
          </c:yVal>
          <c:smooth val="0"/>
          <c:extLst>
            <c:ext xmlns:c16="http://schemas.microsoft.com/office/drawing/2014/chart" uri="{C3380CC4-5D6E-409C-BE32-E72D297353CC}">
              <c16:uniqueId val="{00000001-C399-427C-9CE9-0B67DF155AAB}"/>
            </c:ext>
          </c:extLst>
        </c:ser>
        <c:ser>
          <c:idx val="2"/>
          <c:order val="2"/>
          <c:tx>
            <c:strRef>
              <c:f>'2'!$E$14</c:f>
              <c:strCache>
                <c:ptCount val="1"/>
                <c:pt idx="0">
                  <c:v>Portfolio</c:v>
                </c:pt>
              </c:strCache>
            </c:strRef>
          </c:tx>
          <c:spPr>
            <a:ln w="19050" cap="rnd">
              <a:solidFill>
                <a:srgbClr val="707070"/>
              </a:solidFill>
              <a:round/>
            </a:ln>
            <a:effectLst/>
          </c:spPr>
          <c:marker>
            <c:symbol val="none"/>
          </c:marker>
          <c:xVal>
            <c:numRef>
              <c:f>'2'!$B$15:$B$215</c:f>
              <c:numCache>
                <c:formatCode>General</c:formatCode>
                <c:ptCount val="201"/>
                <c:pt idx="0" formatCode="0.00">
                  <c:v>-7</c:v>
                </c:pt>
                <c:pt idx="1">
                  <c:v>-6.92</c:v>
                </c:pt>
                <c:pt idx="2">
                  <c:v>-6.84</c:v>
                </c:pt>
                <c:pt idx="3">
                  <c:v>-6.76</c:v>
                </c:pt>
                <c:pt idx="4">
                  <c:v>-6.68</c:v>
                </c:pt>
                <c:pt idx="5">
                  <c:v>-6.6</c:v>
                </c:pt>
                <c:pt idx="6">
                  <c:v>-6.52</c:v>
                </c:pt>
                <c:pt idx="7">
                  <c:v>-6.4399999999999995</c:v>
                </c:pt>
                <c:pt idx="8">
                  <c:v>-6.3599999999999994</c:v>
                </c:pt>
                <c:pt idx="9">
                  <c:v>-6.2799999999999994</c:v>
                </c:pt>
                <c:pt idx="10">
                  <c:v>-6.1999999999999993</c:v>
                </c:pt>
                <c:pt idx="11">
                  <c:v>-6.1199999999999992</c:v>
                </c:pt>
                <c:pt idx="12">
                  <c:v>-6.0399999999999991</c:v>
                </c:pt>
                <c:pt idx="13">
                  <c:v>-5.9599999999999991</c:v>
                </c:pt>
                <c:pt idx="14">
                  <c:v>-5.879999999999999</c:v>
                </c:pt>
                <c:pt idx="15">
                  <c:v>-5.7999999999999989</c:v>
                </c:pt>
                <c:pt idx="16">
                  <c:v>-5.7199999999999989</c:v>
                </c:pt>
                <c:pt idx="17">
                  <c:v>-5.6399999999999988</c:v>
                </c:pt>
                <c:pt idx="18">
                  <c:v>-5.5599999999999987</c:v>
                </c:pt>
                <c:pt idx="19">
                  <c:v>-5.4799999999999986</c:v>
                </c:pt>
                <c:pt idx="20">
                  <c:v>-5.3999999999999986</c:v>
                </c:pt>
                <c:pt idx="21">
                  <c:v>-5.3199999999999985</c:v>
                </c:pt>
                <c:pt idx="22">
                  <c:v>-5.2399999999999984</c:v>
                </c:pt>
                <c:pt idx="23">
                  <c:v>-5.1599999999999984</c:v>
                </c:pt>
                <c:pt idx="24">
                  <c:v>-5.0799999999999983</c:v>
                </c:pt>
                <c:pt idx="25">
                  <c:v>-4.9999999999999982</c:v>
                </c:pt>
                <c:pt idx="26">
                  <c:v>-4.9199999999999982</c:v>
                </c:pt>
                <c:pt idx="27">
                  <c:v>-4.8399999999999981</c:v>
                </c:pt>
                <c:pt idx="28">
                  <c:v>-4.759999999999998</c:v>
                </c:pt>
                <c:pt idx="29">
                  <c:v>-4.6799999999999979</c:v>
                </c:pt>
                <c:pt idx="30">
                  <c:v>-4.5999999999999979</c:v>
                </c:pt>
                <c:pt idx="31">
                  <c:v>-4.5199999999999978</c:v>
                </c:pt>
                <c:pt idx="32">
                  <c:v>-4.4399999999999977</c:v>
                </c:pt>
                <c:pt idx="33">
                  <c:v>-4.3599999999999977</c:v>
                </c:pt>
                <c:pt idx="34">
                  <c:v>-4.2799999999999976</c:v>
                </c:pt>
                <c:pt idx="35">
                  <c:v>-4.1999999999999975</c:v>
                </c:pt>
                <c:pt idx="36">
                  <c:v>-4.1199999999999974</c:v>
                </c:pt>
                <c:pt idx="37">
                  <c:v>-4.0399999999999974</c:v>
                </c:pt>
                <c:pt idx="38">
                  <c:v>-3.9599999999999973</c:v>
                </c:pt>
                <c:pt idx="39">
                  <c:v>-3.8799999999999972</c:v>
                </c:pt>
                <c:pt idx="40">
                  <c:v>-3.7999999999999972</c:v>
                </c:pt>
                <c:pt idx="41">
                  <c:v>-3.7199999999999971</c:v>
                </c:pt>
                <c:pt idx="42">
                  <c:v>-3.639999999999997</c:v>
                </c:pt>
                <c:pt idx="43">
                  <c:v>-3.5599999999999969</c:v>
                </c:pt>
                <c:pt idx="44">
                  <c:v>-3.4799999999999969</c:v>
                </c:pt>
                <c:pt idx="45">
                  <c:v>-3.3999999999999968</c:v>
                </c:pt>
                <c:pt idx="46">
                  <c:v>-3.3199999999999967</c:v>
                </c:pt>
                <c:pt idx="47">
                  <c:v>-3.2399999999999967</c:v>
                </c:pt>
                <c:pt idx="48">
                  <c:v>-3.1599999999999966</c:v>
                </c:pt>
                <c:pt idx="49">
                  <c:v>-3.0799999999999965</c:v>
                </c:pt>
                <c:pt idx="50">
                  <c:v>-2.9999999999999964</c:v>
                </c:pt>
                <c:pt idx="51">
                  <c:v>-2.9199999999999964</c:v>
                </c:pt>
                <c:pt idx="52">
                  <c:v>-2.8399999999999963</c:v>
                </c:pt>
                <c:pt idx="53">
                  <c:v>-2.7599999999999962</c:v>
                </c:pt>
                <c:pt idx="54">
                  <c:v>-2.6799999999999962</c:v>
                </c:pt>
                <c:pt idx="55">
                  <c:v>-2.5999999999999961</c:v>
                </c:pt>
                <c:pt idx="56">
                  <c:v>-2.519999999999996</c:v>
                </c:pt>
                <c:pt idx="57">
                  <c:v>-2.4399999999999959</c:v>
                </c:pt>
                <c:pt idx="58">
                  <c:v>-2.3599999999999959</c:v>
                </c:pt>
                <c:pt idx="59">
                  <c:v>-2.2799999999999958</c:v>
                </c:pt>
                <c:pt idx="60">
                  <c:v>-2.1999999999999957</c:v>
                </c:pt>
                <c:pt idx="61">
                  <c:v>-2.1199999999999957</c:v>
                </c:pt>
                <c:pt idx="62">
                  <c:v>-2.0399999999999956</c:v>
                </c:pt>
                <c:pt idx="63">
                  <c:v>-1.9599999999999955</c:v>
                </c:pt>
                <c:pt idx="64">
                  <c:v>-1.8799999999999955</c:v>
                </c:pt>
                <c:pt idx="65">
                  <c:v>-1.7999999999999954</c:v>
                </c:pt>
                <c:pt idx="66">
                  <c:v>-1.7199999999999953</c:v>
                </c:pt>
                <c:pt idx="67">
                  <c:v>-1.6399999999999952</c:v>
                </c:pt>
                <c:pt idx="68">
                  <c:v>-1.5599999999999952</c:v>
                </c:pt>
                <c:pt idx="69">
                  <c:v>-1.4799999999999951</c:v>
                </c:pt>
                <c:pt idx="70">
                  <c:v>-1.399999999999995</c:v>
                </c:pt>
                <c:pt idx="71">
                  <c:v>-1.319999999999995</c:v>
                </c:pt>
                <c:pt idx="72">
                  <c:v>-1.2399999999999949</c:v>
                </c:pt>
                <c:pt idx="73">
                  <c:v>-1.1599999999999948</c:v>
                </c:pt>
                <c:pt idx="74">
                  <c:v>-1.0799999999999947</c:v>
                </c:pt>
                <c:pt idx="75">
                  <c:v>-0.99999999999999478</c:v>
                </c:pt>
                <c:pt idx="76">
                  <c:v>-0.91999999999999482</c:v>
                </c:pt>
                <c:pt idx="77">
                  <c:v>-0.83999999999999486</c:v>
                </c:pt>
                <c:pt idx="78">
                  <c:v>-0.7599999999999949</c:v>
                </c:pt>
                <c:pt idx="79">
                  <c:v>-0.67999999999999494</c:v>
                </c:pt>
                <c:pt idx="80">
                  <c:v>-0.59999999999999498</c:v>
                </c:pt>
                <c:pt idx="81">
                  <c:v>-0.51999999999999502</c:v>
                </c:pt>
                <c:pt idx="82">
                  <c:v>-0.43999999999999501</c:v>
                </c:pt>
                <c:pt idx="83">
                  <c:v>-0.35999999999999499</c:v>
                </c:pt>
                <c:pt idx="84">
                  <c:v>-0.27999999999999498</c:v>
                </c:pt>
                <c:pt idx="85">
                  <c:v>-0.19999999999999496</c:v>
                </c:pt>
                <c:pt idx="86">
                  <c:v>-0.11999999999999496</c:v>
                </c:pt>
                <c:pt idx="87">
                  <c:v>-3.9999999999994956E-2</c:v>
                </c:pt>
                <c:pt idx="88">
                  <c:v>4.0000000000005045E-2</c:v>
                </c:pt>
                <c:pt idx="89">
                  <c:v>0.12000000000000505</c:v>
                </c:pt>
                <c:pt idx="90">
                  <c:v>0.20000000000000506</c:v>
                </c:pt>
                <c:pt idx="91">
                  <c:v>0.28000000000000508</c:v>
                </c:pt>
                <c:pt idx="92">
                  <c:v>0.36000000000000509</c:v>
                </c:pt>
                <c:pt idx="93">
                  <c:v>0.44000000000000511</c:v>
                </c:pt>
                <c:pt idx="94">
                  <c:v>0.52000000000000512</c:v>
                </c:pt>
                <c:pt idx="95">
                  <c:v>0.60000000000000508</c:v>
                </c:pt>
                <c:pt idx="96">
                  <c:v>0.68000000000000504</c:v>
                </c:pt>
                <c:pt idx="97">
                  <c:v>0.760000000000005</c:v>
                </c:pt>
                <c:pt idx="98">
                  <c:v>0.84000000000000496</c:v>
                </c:pt>
                <c:pt idx="99">
                  <c:v>0.92000000000000492</c:v>
                </c:pt>
                <c:pt idx="100">
                  <c:v>1.0000000000000049</c:v>
                </c:pt>
                <c:pt idx="101">
                  <c:v>1.080000000000005</c:v>
                </c:pt>
                <c:pt idx="102">
                  <c:v>1.160000000000005</c:v>
                </c:pt>
                <c:pt idx="103">
                  <c:v>1.2400000000000051</c:v>
                </c:pt>
                <c:pt idx="104">
                  <c:v>1.3200000000000052</c:v>
                </c:pt>
                <c:pt idx="105">
                  <c:v>1.4000000000000052</c:v>
                </c:pt>
                <c:pt idx="106">
                  <c:v>1.4800000000000053</c:v>
                </c:pt>
                <c:pt idx="107">
                  <c:v>1.5600000000000054</c:v>
                </c:pt>
                <c:pt idx="108">
                  <c:v>1.6400000000000055</c:v>
                </c:pt>
                <c:pt idx="109">
                  <c:v>1.7200000000000055</c:v>
                </c:pt>
                <c:pt idx="110">
                  <c:v>1.8000000000000056</c:v>
                </c:pt>
                <c:pt idx="111">
                  <c:v>1.8800000000000057</c:v>
                </c:pt>
                <c:pt idx="112">
                  <c:v>1.9600000000000057</c:v>
                </c:pt>
                <c:pt idx="113">
                  <c:v>2.0400000000000058</c:v>
                </c:pt>
                <c:pt idx="114">
                  <c:v>2.1200000000000059</c:v>
                </c:pt>
                <c:pt idx="115">
                  <c:v>2.200000000000006</c:v>
                </c:pt>
                <c:pt idx="116">
                  <c:v>2.280000000000006</c:v>
                </c:pt>
                <c:pt idx="117">
                  <c:v>2.3600000000000061</c:v>
                </c:pt>
                <c:pt idx="118">
                  <c:v>2.4400000000000062</c:v>
                </c:pt>
                <c:pt idx="119">
                  <c:v>2.5200000000000062</c:v>
                </c:pt>
                <c:pt idx="120">
                  <c:v>2.6000000000000063</c:v>
                </c:pt>
                <c:pt idx="121">
                  <c:v>2.6800000000000064</c:v>
                </c:pt>
                <c:pt idx="122">
                  <c:v>2.7600000000000064</c:v>
                </c:pt>
                <c:pt idx="123">
                  <c:v>2.8400000000000065</c:v>
                </c:pt>
                <c:pt idx="124">
                  <c:v>2.9200000000000066</c:v>
                </c:pt>
                <c:pt idx="125">
                  <c:v>3.0000000000000067</c:v>
                </c:pt>
                <c:pt idx="126">
                  <c:v>3.0800000000000067</c:v>
                </c:pt>
                <c:pt idx="127">
                  <c:v>3.1600000000000068</c:v>
                </c:pt>
                <c:pt idx="128">
                  <c:v>3.2400000000000069</c:v>
                </c:pt>
                <c:pt idx="129">
                  <c:v>3.3200000000000069</c:v>
                </c:pt>
                <c:pt idx="130">
                  <c:v>3.400000000000007</c:v>
                </c:pt>
                <c:pt idx="131">
                  <c:v>3.4800000000000071</c:v>
                </c:pt>
                <c:pt idx="132">
                  <c:v>3.5600000000000072</c:v>
                </c:pt>
                <c:pt idx="133">
                  <c:v>3.6400000000000072</c:v>
                </c:pt>
                <c:pt idx="134">
                  <c:v>3.7200000000000073</c:v>
                </c:pt>
                <c:pt idx="135">
                  <c:v>3.8000000000000074</c:v>
                </c:pt>
                <c:pt idx="136">
                  <c:v>3.8800000000000074</c:v>
                </c:pt>
                <c:pt idx="137">
                  <c:v>3.9600000000000075</c:v>
                </c:pt>
                <c:pt idx="138">
                  <c:v>4.0400000000000071</c:v>
                </c:pt>
                <c:pt idx="139">
                  <c:v>4.1200000000000072</c:v>
                </c:pt>
                <c:pt idx="140">
                  <c:v>4.2000000000000073</c:v>
                </c:pt>
                <c:pt idx="141">
                  <c:v>4.2800000000000074</c:v>
                </c:pt>
                <c:pt idx="142">
                  <c:v>4.3600000000000074</c:v>
                </c:pt>
                <c:pt idx="143">
                  <c:v>4.4400000000000075</c:v>
                </c:pt>
                <c:pt idx="144">
                  <c:v>4.5200000000000076</c:v>
                </c:pt>
                <c:pt idx="145">
                  <c:v>4.6000000000000076</c:v>
                </c:pt>
                <c:pt idx="146">
                  <c:v>4.6800000000000077</c:v>
                </c:pt>
                <c:pt idx="147">
                  <c:v>4.7600000000000078</c:v>
                </c:pt>
                <c:pt idx="148">
                  <c:v>4.8400000000000079</c:v>
                </c:pt>
                <c:pt idx="149">
                  <c:v>4.9200000000000079</c:v>
                </c:pt>
                <c:pt idx="150">
                  <c:v>5.000000000000008</c:v>
                </c:pt>
                <c:pt idx="151">
                  <c:v>5.0800000000000081</c:v>
                </c:pt>
                <c:pt idx="152">
                  <c:v>5.1600000000000081</c:v>
                </c:pt>
                <c:pt idx="153">
                  <c:v>5.2400000000000082</c:v>
                </c:pt>
                <c:pt idx="154">
                  <c:v>5.3200000000000083</c:v>
                </c:pt>
                <c:pt idx="155">
                  <c:v>5.4000000000000083</c:v>
                </c:pt>
                <c:pt idx="156">
                  <c:v>5.4800000000000084</c:v>
                </c:pt>
                <c:pt idx="157">
                  <c:v>5.5600000000000085</c:v>
                </c:pt>
                <c:pt idx="158">
                  <c:v>5.6400000000000086</c:v>
                </c:pt>
                <c:pt idx="159">
                  <c:v>5.7200000000000086</c:v>
                </c:pt>
                <c:pt idx="160">
                  <c:v>5.8000000000000087</c:v>
                </c:pt>
                <c:pt idx="161">
                  <c:v>5.8800000000000088</c:v>
                </c:pt>
                <c:pt idx="162">
                  <c:v>5.9600000000000088</c:v>
                </c:pt>
                <c:pt idx="163">
                  <c:v>6.0400000000000089</c:v>
                </c:pt>
                <c:pt idx="164">
                  <c:v>6.120000000000009</c:v>
                </c:pt>
                <c:pt idx="165">
                  <c:v>6.2000000000000091</c:v>
                </c:pt>
                <c:pt idx="166">
                  <c:v>6.2800000000000091</c:v>
                </c:pt>
                <c:pt idx="167">
                  <c:v>6.3600000000000092</c:v>
                </c:pt>
                <c:pt idx="168">
                  <c:v>6.4400000000000093</c:v>
                </c:pt>
                <c:pt idx="169">
                  <c:v>6.5200000000000093</c:v>
                </c:pt>
                <c:pt idx="170">
                  <c:v>6.6000000000000094</c:v>
                </c:pt>
                <c:pt idx="171">
                  <c:v>6.6800000000000095</c:v>
                </c:pt>
                <c:pt idx="172">
                  <c:v>6.7600000000000096</c:v>
                </c:pt>
                <c:pt idx="173">
                  <c:v>6.8400000000000096</c:v>
                </c:pt>
                <c:pt idx="174">
                  <c:v>6.9200000000000097</c:v>
                </c:pt>
                <c:pt idx="175">
                  <c:v>7.0000000000000098</c:v>
                </c:pt>
                <c:pt idx="176">
                  <c:v>7.0800000000000098</c:v>
                </c:pt>
                <c:pt idx="177">
                  <c:v>7.1600000000000099</c:v>
                </c:pt>
                <c:pt idx="178">
                  <c:v>7.24000000000001</c:v>
                </c:pt>
                <c:pt idx="179">
                  <c:v>7.3200000000000101</c:v>
                </c:pt>
                <c:pt idx="180">
                  <c:v>7.4000000000000101</c:v>
                </c:pt>
                <c:pt idx="181">
                  <c:v>7.4800000000000102</c:v>
                </c:pt>
                <c:pt idx="182">
                  <c:v>7.5600000000000103</c:v>
                </c:pt>
                <c:pt idx="183">
                  <c:v>7.6400000000000103</c:v>
                </c:pt>
                <c:pt idx="184">
                  <c:v>7.7200000000000104</c:v>
                </c:pt>
                <c:pt idx="185">
                  <c:v>7.8000000000000105</c:v>
                </c:pt>
                <c:pt idx="186">
                  <c:v>7.8800000000000106</c:v>
                </c:pt>
                <c:pt idx="187">
                  <c:v>7.9600000000000106</c:v>
                </c:pt>
                <c:pt idx="188">
                  <c:v>8.0400000000000098</c:v>
                </c:pt>
                <c:pt idx="189">
                  <c:v>8.1200000000000099</c:v>
                </c:pt>
                <c:pt idx="190">
                  <c:v>8.2000000000000099</c:v>
                </c:pt>
                <c:pt idx="191">
                  <c:v>8.28000000000001</c:v>
                </c:pt>
                <c:pt idx="192">
                  <c:v>8.3600000000000101</c:v>
                </c:pt>
                <c:pt idx="193">
                  <c:v>8.4400000000000102</c:v>
                </c:pt>
                <c:pt idx="194">
                  <c:v>8.5200000000000102</c:v>
                </c:pt>
                <c:pt idx="195">
                  <c:v>8.6000000000000103</c:v>
                </c:pt>
                <c:pt idx="196">
                  <c:v>8.6800000000000104</c:v>
                </c:pt>
                <c:pt idx="197">
                  <c:v>8.7600000000000104</c:v>
                </c:pt>
                <c:pt idx="198">
                  <c:v>8.8400000000000105</c:v>
                </c:pt>
                <c:pt idx="199">
                  <c:v>8.9200000000000106</c:v>
                </c:pt>
                <c:pt idx="200" formatCode="0.00">
                  <c:v>9</c:v>
                </c:pt>
              </c:numCache>
            </c:numRef>
          </c:xVal>
          <c:yVal>
            <c:numRef>
              <c:f>'2'!$E$15:$E$215</c:f>
              <c:numCache>
                <c:formatCode>0.0000</c:formatCode>
                <c:ptCount val="201"/>
                <c:pt idx="0">
                  <c:v>3.1597905550395063E-8</c:v>
                </c:pt>
                <c:pt idx="1">
                  <c:v>4.4439086545303618E-8</c:v>
                </c:pt>
                <c:pt idx="2">
                  <c:v>6.2270689299157689E-8</c:v>
                </c:pt>
                <c:pt idx="3">
                  <c:v>8.6938860962973007E-8</c:v>
                </c:pt>
                <c:pt idx="4">
                  <c:v>1.2093609516100587E-7</c:v>
                </c:pt>
                <c:pt idx="5">
                  <c:v>1.6761375698299968E-7</c:v>
                </c:pt>
                <c:pt idx="6">
                  <c:v>2.3145954903299086E-7</c:v>
                </c:pt>
                <c:pt idx="7">
                  <c:v>3.1845807648103336E-7</c:v>
                </c:pt>
                <c:pt idx="8">
                  <c:v>4.3655720030431844E-7</c:v>
                </c:pt>
                <c:pt idx="9">
                  <c:v>5.9626836248295555E-7</c:v>
                </c:pt>
                <c:pt idx="10">
                  <c:v>8.1143568070988679E-7</c:v>
                </c:pt>
                <c:pt idx="11">
                  <c:v>1.1002165102482578E-6</c:v>
                </c:pt>
                <c:pt idx="12">
                  <c:v>1.4863255315270074E-6</c:v>
                </c:pt>
                <c:pt idx="13">
                  <c:v>2.0006054206503855E-6</c:v>
                </c:pt>
                <c:pt idx="14">
                  <c:v>2.6829999675889166E-6</c:v>
                </c:pt>
                <c:pt idx="15">
                  <c:v>3.5850202794713755E-6</c:v>
                </c:pt>
                <c:pt idx="16">
                  <c:v>4.7728115720732068E-6</c:v>
                </c:pt>
                <c:pt idx="17">
                  <c:v>6.330947095318426E-6</c:v>
                </c:pt>
                <c:pt idx="18">
                  <c:v>8.3670969792903646E-6</c:v>
                </c:pt>
                <c:pt idx="19">
                  <c:v>1.1017743161120031E-5</c:v>
                </c:pt>
                <c:pt idx="20">
                  <c:v>1.445513688385059E-5</c:v>
                </c:pt>
                <c:pt idx="21">
                  <c:v>1.8895722229109195E-5</c:v>
                </c:pt>
                <c:pt idx="22">
                  <c:v>2.4610277267393513E-5</c:v>
                </c:pt>
                <c:pt idx="23">
                  <c:v>3.1936052989349691E-5</c:v>
                </c:pt>
                <c:pt idx="24">
                  <c:v>4.1291218286839032E-5</c:v>
                </c:pt>
                <c:pt idx="25">
                  <c:v>5.3191945682197738E-5</c:v>
                </c:pt>
                <c:pt idx="26">
                  <c:v>6.8272495758184463E-5</c:v>
                </c:pt>
                <c:pt idx="27">
                  <c:v>8.7308676499996211E-5</c:v>
                </c:pt>
                <c:pt idx="28">
                  <c:v>1.1124506487222965E-4</c:v>
                </c:pt>
                <c:pt idx="29">
                  <c:v>1.4122637943330299E-4</c:v>
                </c:pt>
                <c:pt idx="30">
                  <c:v>1.7863338183776161E-4</c:v>
                </c:pt>
                <c:pt idx="31">
                  <c:v>2.2512365861502941E-4</c:v>
                </c:pt>
                <c:pt idx="32">
                  <c:v>2.8267758934692765E-4</c:v>
                </c:pt>
                <c:pt idx="33">
                  <c:v>3.5364973987381249E-4</c:v>
                </c:pt>
                <c:pt idx="34">
                  <c:v>4.4082582601143969E-4</c:v>
                </c:pt>
                <c:pt idx="35">
                  <c:v>5.4748527117390755E-4</c:v>
                </c:pt>
                <c:pt idx="36">
                  <c:v>6.7746922731965538E-4</c:v>
                </c:pt>
                <c:pt idx="37">
                  <c:v>8.3525374036350097E-4</c:v>
                </c:pt>
                <c:pt idx="38">
                  <c:v>1.026027517018908E-3</c:v>
                </c:pt>
                <c:pt idx="39">
                  <c:v>1.25577348940594E-3</c:v>
                </c:pt>
                <c:pt idx="40">
                  <c:v>1.5313530774831007E-3</c:v>
                </c:pt>
                <c:pt idx="41">
                  <c:v>1.860591719870536E-3</c:v>
                </c:pt>
                <c:pt idx="42">
                  <c:v>2.2523638852693329E-3</c:v>
                </c:pt>
                <c:pt idx="43">
                  <c:v>2.7166753959422087E-3</c:v>
                </c:pt>
                <c:pt idx="44">
                  <c:v>3.264740500449329E-3</c:v>
                </c:pt>
                <c:pt idx="45">
                  <c:v>3.9090507363529819E-3</c:v>
                </c:pt>
                <c:pt idx="46">
                  <c:v>4.6634322387546015E-3</c:v>
                </c:pt>
                <c:pt idx="47">
                  <c:v>5.5430877935836228E-3</c:v>
                </c:pt>
                <c:pt idx="48">
                  <c:v>6.5646196240267112E-3</c:v>
                </c:pt>
                <c:pt idx="49">
                  <c:v>7.7460286547427143E-3</c:v>
                </c:pt>
                <c:pt idx="50">
                  <c:v>9.106685843280421E-3</c:v>
                </c:pt>
                <c:pt idx="51">
                  <c:v>1.06672711237881E-2</c:v>
                </c:pt>
                <c:pt idx="52">
                  <c:v>1.2449675596876719E-2</c:v>
                </c:pt>
                <c:pt idx="53">
                  <c:v>1.4476862842377088E-2</c:v>
                </c:pt>
                <c:pt idx="54">
                  <c:v>1.6772685647405271E-2</c:v>
                </c:pt>
                <c:pt idx="55">
                  <c:v>1.9361655045761924E-2</c:v>
                </c:pt>
                <c:pt idx="56">
                  <c:v>2.2268659366576345E-2</c:v>
                </c:pt>
                <c:pt idx="57">
                  <c:v>2.5518631994529965E-2</c:v>
                </c:pt>
                <c:pt idx="58">
                  <c:v>2.9136167747970895E-2</c:v>
                </c:pt>
                <c:pt idx="59">
                  <c:v>3.3145089173498204E-2</c:v>
                </c:pt>
                <c:pt idx="60">
                  <c:v>3.7567965615790497E-2</c:v>
                </c:pt>
                <c:pt idx="61">
                  <c:v>4.242558961963367E-2</c:v>
                </c:pt>
                <c:pt idx="62">
                  <c:v>4.7736417017583591E-2</c:v>
                </c:pt>
                <c:pt idx="63">
                  <c:v>5.3515978902381592E-2</c:v>
                </c:pt>
                <c:pt idx="64">
                  <c:v>5.9776275520376322E-2</c:v>
                </c:pt>
                <c:pt idx="65">
                  <c:v>6.6525163885699221E-2</c:v>
                </c:pt>
                <c:pt idx="66">
                  <c:v>7.376575253415274E-2</c:v>
                </c:pt>
                <c:pt idx="67">
                  <c:v>8.1495818236809375E-2</c:v>
                </c:pt>
                <c:pt idx="68">
                  <c:v>8.9707260601773711E-2</c:v>
                </c:pt>
                <c:pt idx="69">
                  <c:v>9.8385611236584264E-2</c:v>
                </c:pt>
                <c:pt idx="70">
                  <c:v>0.10750961445736555</c:v>
                </c:pt>
                <c:pt idx="71">
                  <c:v>0.11705089635744784</c:v>
                </c:pt>
                <c:pt idx="72">
                  <c:v>0.1269737383437983</c:v>
                </c:pt>
                <c:pt idx="73">
                  <c:v>0.13723496998614118</c:v>
                </c:pt>
                <c:pt idx="74">
                  <c:v>0.14778399419153898</c:v>
                </c:pt>
                <c:pt idx="75">
                  <c:v>0.1585629553276369</c:v>
                </c:pt>
                <c:pt idx="76">
                  <c:v>0.16950705800405094</c:v>
                </c:pt>
                <c:pt idx="77">
                  <c:v>0.18054504083945891</c:v>
                </c:pt>
                <c:pt idx="78">
                  <c:v>0.19159980577000457</c:v>
                </c:pt>
                <c:pt idx="79">
                  <c:v>0.20258919939149408</c:v>
                </c:pt>
                <c:pt idx="80">
                  <c:v>0.2134269385905723</c:v>
                </c:pt>
                <c:pt idx="81">
                  <c:v>0.22402366844020374</c:v>
                </c:pt>
                <c:pt idx="82">
                  <c:v>0.2342881361541003</c:v>
                </c:pt>
                <c:pt idx="83">
                  <c:v>0.24412846095991003</c:v>
                </c:pt>
                <c:pt idx="84">
                  <c:v>0.25345347620789194</c:v>
                </c:pt>
                <c:pt idx="85">
                  <c:v>0.26217411701949556</c:v>
                </c:pt>
                <c:pt idx="86">
                  <c:v>0.2702048244249135</c:v>
                </c:pt>
                <c:pt idx="87">
                  <c:v>0.27746493534779759</c:v>
                </c:pt>
                <c:pt idx="88">
                  <c:v>0.28388002705258136</c:v>
                </c:pt>
                <c:pt idx="89">
                  <c:v>0.28938318483069242</c:v>
                </c:pt>
                <c:pt idx="90">
                  <c:v>0.29391616279030175</c:v>
                </c:pt>
                <c:pt idx="91">
                  <c:v>0.29743040962062484</c:v>
                </c:pt>
                <c:pt idx="92">
                  <c:v>0.29988793408256287</c:v>
                </c:pt>
                <c:pt idx="93">
                  <c:v>0.30126198865591164</c:v>
                </c:pt>
                <c:pt idx="94">
                  <c:v>0.30153755414199479</c:v>
                </c:pt>
                <c:pt idx="95">
                  <c:v>0.30071161294494714</c:v>
                </c:pt>
                <c:pt idx="96">
                  <c:v>0.29879320407863602</c:v>
                </c:pt>
                <c:pt idx="97">
                  <c:v>0.29580325849713879</c:v>
                </c:pt>
                <c:pt idx="98">
                  <c:v>0.29177421894351868</c:v>
                </c:pt>
                <c:pt idx="99">
                  <c:v>0.28674945397124779</c:v>
                </c:pt>
                <c:pt idx="100">
                  <c:v>0.28078248093737873</c:v>
                </c:pt>
                <c:pt idx="101">
                  <c:v>0.27393601743137108</c:v>
                </c:pt>
                <c:pt idx="102">
                  <c:v>0.26628088464223915</c:v>
                </c:pt>
                <c:pt idx="103">
                  <c:v>0.25789478945788008</c:v>
                </c:pt>
                <c:pt idx="104">
                  <c:v>0.24886101454157025</c:v>
                </c:pt>
                <c:pt idx="105">
                  <c:v>0.23926704718131062</c:v>
                </c:pt>
                <c:pt idx="106">
                  <c:v>0.22920317833136963</c:v>
                </c:pt>
                <c:pt idx="107">
                  <c:v>0.21876110296939472</c:v>
                </c:pt>
                <c:pt idx="108">
                  <c:v>0.20803255171686627</c:v>
                </c:pt>
                <c:pt idx="109">
                  <c:v>0.19710798168549123</c:v>
                </c:pt>
                <c:pt idx="110">
                  <c:v>0.1860753518135691</c:v>
                </c:pt>
                <c:pt idx="111">
                  <c:v>0.17501900466195111</c:v>
                </c:pt>
                <c:pt idx="112">
                  <c:v>0.16401867288230199</c:v>
                </c:pt>
                <c:pt idx="113">
                  <c:v>0.15314862449419411</c:v>
                </c:pt>
                <c:pt idx="114">
                  <c:v>0.14247695685913794</c:v>
                </c:pt>
                <c:pt idx="115">
                  <c:v>0.13206504496387406</c:v>
                </c:pt>
                <c:pt idx="116">
                  <c:v>0.1219671454594107</c:v>
                </c:pt>
                <c:pt idx="117">
                  <c:v>0.11223015397118545</c:v>
                </c:pt>
                <c:pt idx="118">
                  <c:v>0.10289350960768508</c:v>
                </c:pt>
                <c:pt idx="119">
                  <c:v>9.3989237438628595E-2</c:v>
                </c:pt>
                <c:pt idx="120">
                  <c:v>8.5542117056596895E-2</c:v>
                </c:pt>
                <c:pt idx="121">
                  <c:v>7.7569963222395691E-2</c:v>
                </c:pt>
                <c:pt idx="122">
                  <c:v>7.0084003046594845E-2</c:v>
                </c:pt>
                <c:pt idx="123">
                  <c:v>6.3089333178177914E-2</c:v>
                </c:pt>
                <c:pt idx="124">
                  <c:v>5.6585440036926754E-2</c:v>
                </c:pt>
                <c:pt idx="125">
                  <c:v>5.05667662026505E-2</c:v>
                </c:pt>
                <c:pt idx="126">
                  <c:v>4.5023306610939784E-2</c:v>
                </c:pt>
                <c:pt idx="127">
                  <c:v>3.9941219140059936E-2</c:v>
                </c:pt>
                <c:pt idx="128">
                  <c:v>3.5303435437559316E-2</c:v>
                </c:pt>
                <c:pt idx="129">
                  <c:v>3.1090259354632603E-2</c:v>
                </c:pt>
                <c:pt idx="130">
                  <c:v>2.7279942056723318E-2</c:v>
                </c:pt>
                <c:pt idx="131">
                  <c:v>2.3849224687697356E-2</c:v>
                </c:pt>
                <c:pt idx="132">
                  <c:v>2.0773841314041124E-2</c:v>
                </c:pt>
                <c:pt idx="133">
                  <c:v>1.8028976703321757E-2</c:v>
                </c:pt>
                <c:pt idx="134">
                  <c:v>1.5589675244040006E-2</c:v>
                </c:pt>
                <c:pt idx="135">
                  <c:v>1.34311989475462E-2</c:v>
                </c:pt>
                <c:pt idx="136">
                  <c:v>1.1529333952059398E-2</c:v>
                </c:pt>
                <c:pt idx="137">
                  <c:v>9.8606462489106376E-3</c:v>
                </c:pt>
                <c:pt idx="138">
                  <c:v>8.4026884562021786E-3</c:v>
                </c:pt>
                <c:pt idx="139">
                  <c:v>7.1341603681210029E-3</c:v>
                </c:pt>
                <c:pt idx="140">
                  <c:v>6.0350267099532479E-3</c:v>
                </c:pt>
                <c:pt idx="141">
                  <c:v>5.0865960368652414E-3</c:v>
                </c:pt>
                <c:pt idx="142">
                  <c:v>4.2715650416502013E-3</c:v>
                </c:pt>
                <c:pt idx="143">
                  <c:v>3.5740326999558515E-3</c:v>
                </c:pt>
                <c:pt idx="144">
                  <c:v>2.9794887010056851E-3</c:v>
                </c:pt>
                <c:pt idx="145">
                  <c:v>2.4747805092396919E-3</c:v>
                </c:pt>
                <c:pt idx="146">
                  <c:v>2.0480632000395862E-3</c:v>
                </c:pt>
                <c:pt idx="147">
                  <c:v>1.6887359329212045E-3</c:v>
                </c:pt>
                <c:pt idx="148">
                  <c:v>1.3873685893985173E-3</c:v>
                </c:pt>
                <c:pt idx="149">
                  <c:v>1.1356217296464425E-3</c:v>
                </c:pt>
                <c:pt idx="150">
                  <c:v>9.2616262953878451E-4</c:v>
                </c:pt>
                <c:pt idx="151">
                  <c:v>7.5257976268905261E-4</c:v>
                </c:pt>
                <c:pt idx="152">
                  <c:v>6.0929770335782193E-4</c:v>
                </c:pt>
                <c:pt idx="153">
                  <c:v>4.9149405558446008E-4</c:v>
                </c:pt>
                <c:pt idx="154">
                  <c:v>3.9501966930226626E-4</c:v>
                </c:pt>
                <c:pt idx="155">
                  <c:v>3.1632309089472033E-4</c:v>
                </c:pt>
                <c:pt idx="156">
                  <c:v>2.5237991700195609E-4</c:v>
                </c:pt>
                <c:pt idx="157">
                  <c:v>2.0062747797345871E-4</c:v>
                </c:pt>
                <c:pt idx="158">
                  <c:v>1.5890507127782011E-4</c:v>
                </c:pt>
                <c:pt idx="159">
                  <c:v>1.2539979431105071E-4</c:v>
                </c:pt>
                <c:pt idx="160">
                  <c:v>9.8597888352654274E-5</c:v>
                </c:pt>
                <c:pt idx="161">
                  <c:v>7.7241398195916996E-5</c:v>
                </c:pt>
                <c:pt idx="162">
                  <c:v>6.0289872082272917E-5</c:v>
                </c:pt>
                <c:pt idx="163">
                  <c:v>4.6886770621626568E-5</c:v>
                </c:pt>
                <c:pt idx="164">
                  <c:v>3.6330217938673204E-5</c:v>
                </c:pt>
                <c:pt idx="165">
                  <c:v>2.804770997833125E-5</c:v>
                </c:pt>
                <c:pt idx="166">
                  <c:v>2.1574390535683176E-5</c:v>
                </c:pt>
                <c:pt idx="167">
                  <c:v>1.653451220227089E-5</c:v>
                </c:pt>
                <c:pt idx="168">
                  <c:v>1.2625714395760127E-5</c:v>
                </c:pt>
                <c:pt idx="169">
                  <c:v>9.6057716445521702E-6</c:v>
                </c:pt>
                <c:pt idx="170">
                  <c:v>7.2814903478159311E-6</c:v>
                </c:pt>
                <c:pt idx="171">
                  <c:v>5.4994596671588313E-6</c:v>
                </c:pt>
                <c:pt idx="172">
                  <c:v>4.1383906812753692E-6</c:v>
                </c:pt>
                <c:pt idx="173">
                  <c:v>3.1028063865002253E-6</c:v>
                </c:pt>
                <c:pt idx="174">
                  <c:v>2.3178727456640535E-6</c:v>
                </c:pt>
                <c:pt idx="175">
                  <c:v>1.7251871879735293E-6</c:v>
                </c:pt>
                <c:pt idx="176">
                  <c:v>1.2793653450518824E-6</c:v>
                </c:pt>
                <c:pt idx="177">
                  <c:v>9.4528912997657809E-7</c:v>
                </c:pt>
                <c:pt idx="178">
                  <c:v>6.9589941002242166E-7</c:v>
                </c:pt>
                <c:pt idx="179">
                  <c:v>5.1043447096993427E-7</c:v>
                </c:pt>
                <c:pt idx="180">
                  <c:v>3.7303127634403966E-7</c:v>
                </c:pt>
                <c:pt idx="181">
                  <c:v>2.7162029698506417E-7</c:v>
                </c:pt>
                <c:pt idx="182">
                  <c:v>1.9705656871298547E-7</c:v>
                </c:pt>
                <c:pt idx="183">
                  <c:v>1.4243979365649592E-7</c:v>
                </c:pt>
                <c:pt idx="184">
                  <c:v>1.0258490922536851E-7</c:v>
                </c:pt>
                <c:pt idx="185">
                  <c:v>7.3611784179998718E-8</c:v>
                </c:pt>
                <c:pt idx="186">
                  <c:v>5.2628735187415588E-8</c:v>
                </c:pt>
                <c:pt idx="187">
                  <c:v>3.7489551478659569E-8</c:v>
                </c:pt>
                <c:pt idx="188">
                  <c:v>2.6607819109030575E-8</c:v>
                </c:pt>
                <c:pt idx="189">
                  <c:v>1.8815685147529221E-8</c:v>
                </c:pt>
                <c:pt idx="190">
                  <c:v>1.325691641431209E-8</c:v>
                </c:pt>
                <c:pt idx="191">
                  <c:v>9.3062930033056154E-9</c:v>
                </c:pt>
                <c:pt idx="192">
                  <c:v>6.5091255563675736E-9</c:v>
                </c:pt>
                <c:pt idx="193">
                  <c:v>4.5360757540614885E-9</c:v>
                </c:pt>
                <c:pt idx="194">
                  <c:v>3.1495584453003932E-9</c:v>
                </c:pt>
                <c:pt idx="195">
                  <c:v>2.1788672334287271E-9</c:v>
                </c:pt>
                <c:pt idx="196">
                  <c:v>1.5018397226273585E-9</c:v>
                </c:pt>
                <c:pt idx="197">
                  <c:v>1.0314023795861727E-9</c:v>
                </c:pt>
                <c:pt idx="198">
                  <c:v>7.0573944925324318E-10</c:v>
                </c:pt>
                <c:pt idx="199">
                  <c:v>4.8114101760969148E-10</c:v>
                </c:pt>
                <c:pt idx="200">
                  <c:v>3.2682260975812071E-10</c:v>
                </c:pt>
              </c:numCache>
            </c:numRef>
          </c:yVal>
          <c:smooth val="0"/>
          <c:extLst>
            <c:ext xmlns:c16="http://schemas.microsoft.com/office/drawing/2014/chart" uri="{C3380CC4-5D6E-409C-BE32-E72D297353CC}">
              <c16:uniqueId val="{00000002-C399-427C-9CE9-0B67DF155AAB}"/>
            </c:ext>
          </c:extLst>
        </c:ser>
        <c:dLbls>
          <c:showLegendKey val="0"/>
          <c:showVal val="0"/>
          <c:showCatName val="0"/>
          <c:showSerName val="0"/>
          <c:showPercent val="0"/>
          <c:showBubbleSize val="0"/>
        </c:dLbls>
        <c:axId val="926866128"/>
        <c:axId val="926864816"/>
      </c:scatterChart>
      <c:valAx>
        <c:axId val="926866128"/>
        <c:scaling>
          <c:orientation val="minMax"/>
          <c:max val="8"/>
          <c:min val="-6"/>
        </c:scaling>
        <c:delete val="0"/>
        <c:axPos val="b"/>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6864816"/>
        <c:crosses val="autoZero"/>
        <c:crossBetween val="midCat"/>
      </c:valAx>
      <c:valAx>
        <c:axId val="926864816"/>
        <c:scaling>
          <c:orientation val="minMax"/>
        </c:scaling>
        <c:delete val="1"/>
        <c:axPos val="l"/>
        <c:numFmt formatCode="0.0000" sourceLinked="1"/>
        <c:majorTickMark val="none"/>
        <c:minorTickMark val="none"/>
        <c:tickLblPos val="none"/>
        <c:crossAx val="926866128"/>
        <c:crosses val="autoZero"/>
        <c:crossBetween val="midCat"/>
      </c:valAx>
      <c:spPr>
        <a:noFill/>
        <a:ln>
          <a:noFill/>
        </a:ln>
        <a:effectLst/>
      </c:spPr>
    </c:plotArea>
    <c:legend>
      <c:legendPos val="b"/>
      <c:layout>
        <c:manualLayout>
          <c:xMode val="edge"/>
          <c:yMode val="edge"/>
          <c:x val="0.20152775639887124"/>
          <c:y val="0.91578153769410864"/>
          <c:w val="0.67469634716713045"/>
          <c:h val="6.081121917820269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w="25400">
              <a:noFill/>
            </a:ln>
            <a:effectLst/>
          </c:spPr>
          <c:invertIfNegative val="0"/>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'3'!$I$25:$I$38</c:f>
              <c:numCache>
                <c:formatCode>General</c:formatCode>
                <c:ptCount val="14"/>
                <c:pt idx="0">
                  <c:v>3</c:v>
                </c:pt>
                <c:pt idx="1">
                  <c:v>0</c:v>
                </c:pt>
                <c:pt idx="2">
                  <c:v>2</c:v>
                </c:pt>
                <c:pt idx="3">
                  <c:v>0</c:v>
                </c:pt>
                <c:pt idx="4">
                  <c:v>6</c:v>
                </c:pt>
                <c:pt idx="5">
                  <c:v>11</c:v>
                </c:pt>
                <c:pt idx="6">
                  <c:v>40</c:v>
                </c:pt>
                <c:pt idx="7">
                  <c:v>62</c:v>
                </c:pt>
                <c:pt idx="8">
                  <c:v>67</c:v>
                </c:pt>
                <c:pt idx="9">
                  <c:v>30</c:v>
                </c:pt>
                <c:pt idx="10">
                  <c:v>10</c:v>
                </c:pt>
                <c:pt idx="11">
                  <c:v>5</c:v>
                </c:pt>
                <c:pt idx="12">
                  <c:v>2</c:v>
                </c:pt>
                <c:pt idx="13">
                  <c:v>2</c:v>
                </c:pt>
              </c:numCache>
            </c:numRef>
          </c:val>
          <c:extLst>
            <c:ext xmlns:c16="http://schemas.microsoft.com/office/drawing/2014/chart" uri="{C3380CC4-5D6E-409C-BE32-E72D297353CC}">
              <c16:uniqueId val="{00000000-D6DE-4618-A31A-9D5D3FC7F620}"/>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'3'!$H$25:$H$38</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'3'!$J$25:$J$38</c:f>
              <c:numCache>
                <c:formatCode>0.00</c:formatCode>
                <c:ptCount val="14"/>
                <c:pt idx="0">
                  <c:v>1.7638496106092343E-2</c:v>
                </c:pt>
                <c:pt idx="1">
                  <c:v>0.14307260488368495</c:v>
                </c:pt>
                <c:pt idx="2">
                  <c:v>0.85521940255274809</c:v>
                </c:pt>
                <c:pt idx="3">
                  <c:v>3.7672525574047038</c:v>
                </c:pt>
                <c:pt idx="4">
                  <c:v>12.229200282802514</c:v>
                </c:pt>
                <c:pt idx="5">
                  <c:v>29.254825311954093</c:v>
                </c:pt>
                <c:pt idx="6">
                  <c:v>51.573082627739431</c:v>
                </c:pt>
                <c:pt idx="7">
                  <c:v>67</c:v>
                </c:pt>
                <c:pt idx="8">
                  <c:v>64.143498693703563</c:v>
                </c:pt>
                <c:pt idx="9">
                  <c:v>45.253962950787347</c:v>
                </c:pt>
                <c:pt idx="10">
                  <c:v>23.528092524318478</c:v>
                </c:pt>
                <c:pt idx="11">
                  <c:v>9.014527168223335</c:v>
                </c:pt>
                <c:pt idx="12">
                  <c:v>2.5452199268598497</c:v>
                </c:pt>
                <c:pt idx="13">
                  <c:v>0.52958272221026081</c:v>
                </c:pt>
              </c:numCache>
            </c:numRef>
          </c:val>
          <c:smooth val="1"/>
          <c:extLst>
            <c:ext xmlns:c16="http://schemas.microsoft.com/office/drawing/2014/chart" uri="{C3380CC4-5D6E-409C-BE32-E72D297353CC}">
              <c16:uniqueId val="{00000001-D6DE-4618-A31A-9D5D3FC7F620}"/>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960681841765166E-2"/>
          <c:y val="6.3238351321407676E-2"/>
          <c:w val="0.94142944438679621"/>
          <c:h val="0.90062544792350219"/>
        </c:manualLayout>
      </c:layout>
      <c:barChart>
        <c:barDir val="col"/>
        <c:grouping val="clustered"/>
        <c:varyColors val="0"/>
        <c:ser>
          <c:idx val="0"/>
          <c:order val="0"/>
          <c:spPr>
            <a:solidFill>
              <a:srgbClr val="548BE9"/>
            </a:solidFill>
            <a:ln>
              <a:noFill/>
            </a:ln>
            <a:effectLst/>
          </c:spPr>
          <c:invertIfNegative val="0"/>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'3'!$I$6:$I$19</c:f>
              <c:numCache>
                <c:formatCode>General</c:formatCode>
                <c:ptCount val="14"/>
                <c:pt idx="0">
                  <c:v>0</c:v>
                </c:pt>
                <c:pt idx="1">
                  <c:v>0</c:v>
                </c:pt>
                <c:pt idx="2">
                  <c:v>0</c:v>
                </c:pt>
                <c:pt idx="3">
                  <c:v>1</c:v>
                </c:pt>
                <c:pt idx="4">
                  <c:v>6</c:v>
                </c:pt>
                <c:pt idx="5">
                  <c:v>11</c:v>
                </c:pt>
                <c:pt idx="6">
                  <c:v>47</c:v>
                </c:pt>
                <c:pt idx="7">
                  <c:v>76</c:v>
                </c:pt>
                <c:pt idx="8">
                  <c:v>61</c:v>
                </c:pt>
                <c:pt idx="9">
                  <c:v>23</c:v>
                </c:pt>
                <c:pt idx="10">
                  <c:v>11</c:v>
                </c:pt>
                <c:pt idx="11">
                  <c:v>3</c:v>
                </c:pt>
                <c:pt idx="12">
                  <c:v>1</c:v>
                </c:pt>
                <c:pt idx="13">
                  <c:v>0</c:v>
                </c:pt>
              </c:numCache>
            </c:numRef>
          </c:val>
          <c:extLst>
            <c:ext xmlns:c16="http://schemas.microsoft.com/office/drawing/2014/chart" uri="{C3380CC4-5D6E-409C-BE32-E72D297353CC}">
              <c16:uniqueId val="{00000000-B063-4841-9561-EF6D87878AA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'3'!$H$6:$H$19</c:f>
              <c:numCache>
                <c:formatCode>General</c:formatCode>
                <c:ptCount val="14"/>
                <c:pt idx="0">
                  <c:v>-7</c:v>
                </c:pt>
                <c:pt idx="1">
                  <c:v>-6</c:v>
                </c:pt>
                <c:pt idx="2">
                  <c:v>-5</c:v>
                </c:pt>
                <c:pt idx="3">
                  <c:v>-4</c:v>
                </c:pt>
                <c:pt idx="4">
                  <c:v>-3</c:v>
                </c:pt>
                <c:pt idx="5">
                  <c:v>-2</c:v>
                </c:pt>
                <c:pt idx="6">
                  <c:v>-1</c:v>
                </c:pt>
                <c:pt idx="7">
                  <c:v>0</c:v>
                </c:pt>
                <c:pt idx="8">
                  <c:v>1</c:v>
                </c:pt>
                <c:pt idx="9">
                  <c:v>2</c:v>
                </c:pt>
                <c:pt idx="10">
                  <c:v>3</c:v>
                </c:pt>
                <c:pt idx="11">
                  <c:v>4</c:v>
                </c:pt>
                <c:pt idx="12">
                  <c:v>5</c:v>
                </c:pt>
                <c:pt idx="13">
                  <c:v>6</c:v>
                </c:pt>
              </c:numCache>
            </c:numRef>
          </c:cat>
          <c:val>
            <c:numRef>
              <c:f>'3'!$J$6:$J$19</c:f>
              <c:numCache>
                <c:formatCode>0.00</c:formatCode>
                <c:ptCount val="14"/>
                <c:pt idx="0">
                  <c:v>4.8386201179703532E-5</c:v>
                </c:pt>
                <c:pt idx="1">
                  <c:v>1.9088807926267832E-3</c:v>
                </c:pt>
                <c:pt idx="2">
                  <c:v>4.3638418071862625E-2</c:v>
                </c:pt>
                <c:pt idx="3">
                  <c:v>0.57808552990355633</c:v>
                </c:pt>
                <c:pt idx="4">
                  <c:v>4.4375995416210774</c:v>
                </c:pt>
                <c:pt idx="5">
                  <c:v>19.739539947904607</c:v>
                </c:pt>
                <c:pt idx="6">
                  <c:v>50.881376851706797</c:v>
                </c:pt>
                <c:pt idx="7">
                  <c:v>76</c:v>
                </c:pt>
                <c:pt idx="8">
                  <c:v>65.781116293660119</c:v>
                </c:pt>
                <c:pt idx="9">
                  <c:v>32.992999108881897</c:v>
                </c:pt>
                <c:pt idx="10">
                  <c:v>9.5890428837774717</c:v>
                </c:pt>
                <c:pt idx="11">
                  <c:v>1.6149595009192133</c:v>
                </c:pt>
                <c:pt idx="12">
                  <c:v>0.15760896609606637</c:v>
                </c:pt>
                <c:pt idx="13">
                  <c:v>8.9131889618575544E-3</c:v>
                </c:pt>
              </c:numCache>
            </c:numRef>
          </c:val>
          <c:smooth val="1"/>
          <c:extLst>
            <c:ext xmlns:c16="http://schemas.microsoft.com/office/drawing/2014/chart" uri="{C3380CC4-5D6E-409C-BE32-E72D297353CC}">
              <c16:uniqueId val="{00000001-B063-4841-9561-EF6D87878AA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rgbClr val="548BE9"/>
            </a:solidFill>
            <a:ln>
              <a:noFill/>
            </a:ln>
            <a:effectLst/>
          </c:spPr>
          <c:invertIfNegative val="0"/>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'3'!$I$44:$I$58</c:f>
              <c:numCache>
                <c:formatCode>General</c:formatCode>
                <c:ptCount val="15"/>
                <c:pt idx="0">
                  <c:v>1</c:v>
                </c:pt>
                <c:pt idx="1">
                  <c:v>0</c:v>
                </c:pt>
                <c:pt idx="2">
                  <c:v>1</c:v>
                </c:pt>
                <c:pt idx="3">
                  <c:v>0</c:v>
                </c:pt>
                <c:pt idx="4">
                  <c:v>2</c:v>
                </c:pt>
                <c:pt idx="5">
                  <c:v>1</c:v>
                </c:pt>
                <c:pt idx="6">
                  <c:v>7</c:v>
                </c:pt>
                <c:pt idx="7">
                  <c:v>35</c:v>
                </c:pt>
                <c:pt idx="8">
                  <c:v>89</c:v>
                </c:pt>
                <c:pt idx="9">
                  <c:v>80</c:v>
                </c:pt>
                <c:pt idx="10">
                  <c:v>16</c:v>
                </c:pt>
                <c:pt idx="11">
                  <c:v>5</c:v>
                </c:pt>
                <c:pt idx="12">
                  <c:v>2</c:v>
                </c:pt>
                <c:pt idx="13">
                  <c:v>0</c:v>
                </c:pt>
                <c:pt idx="14">
                  <c:v>1</c:v>
                </c:pt>
              </c:numCache>
            </c:numRef>
          </c:val>
          <c:extLst>
            <c:ext xmlns:c16="http://schemas.microsoft.com/office/drawing/2014/chart" uri="{C3380CC4-5D6E-409C-BE32-E72D297353CC}">
              <c16:uniqueId val="{00000000-D4CE-4EEC-9D34-AB3FBA185BEF}"/>
            </c:ext>
          </c:extLst>
        </c:ser>
        <c:dLbls>
          <c:showLegendKey val="0"/>
          <c:showVal val="0"/>
          <c:showCatName val="0"/>
          <c:showSerName val="0"/>
          <c:showPercent val="0"/>
          <c:showBubbleSize val="0"/>
        </c:dLbls>
        <c:gapWidth val="0"/>
        <c:axId val="975788160"/>
        <c:axId val="975786192"/>
      </c:barChart>
      <c:lineChart>
        <c:grouping val="standard"/>
        <c:varyColors val="0"/>
        <c:ser>
          <c:idx val="1"/>
          <c:order val="1"/>
          <c:spPr>
            <a:ln w="28575" cap="rnd">
              <a:solidFill>
                <a:srgbClr val="9A221D"/>
              </a:solidFill>
              <a:round/>
            </a:ln>
            <a:effectLst/>
          </c:spPr>
          <c:marker>
            <c:symbol val="none"/>
          </c:marker>
          <c:cat>
            <c:numRef>
              <c:f>'3'!$H$44:$H$58</c:f>
              <c:numCache>
                <c:formatCode>General</c:formatCode>
                <c:ptCount val="15"/>
                <c:pt idx="0">
                  <c:v>-16</c:v>
                </c:pt>
                <c:pt idx="1">
                  <c:v>-14</c:v>
                </c:pt>
                <c:pt idx="2">
                  <c:v>-12</c:v>
                </c:pt>
                <c:pt idx="3">
                  <c:v>-10</c:v>
                </c:pt>
                <c:pt idx="4">
                  <c:v>-8</c:v>
                </c:pt>
                <c:pt idx="5">
                  <c:v>-6</c:v>
                </c:pt>
                <c:pt idx="6">
                  <c:v>-4</c:v>
                </c:pt>
                <c:pt idx="7">
                  <c:v>-2</c:v>
                </c:pt>
                <c:pt idx="8">
                  <c:v>0</c:v>
                </c:pt>
                <c:pt idx="9">
                  <c:v>2</c:v>
                </c:pt>
                <c:pt idx="10">
                  <c:v>4</c:v>
                </c:pt>
                <c:pt idx="11">
                  <c:v>6</c:v>
                </c:pt>
                <c:pt idx="12">
                  <c:v>8</c:v>
                </c:pt>
                <c:pt idx="13">
                  <c:v>10</c:v>
                </c:pt>
                <c:pt idx="14">
                  <c:v>12</c:v>
                </c:pt>
              </c:numCache>
            </c:numRef>
          </c:cat>
          <c:val>
            <c:numRef>
              <c:f>'3'!$J$44:$J$58</c:f>
              <c:numCache>
                <c:formatCode>0.00</c:formatCode>
                <c:ptCount val="15"/>
                <c:pt idx="0">
                  <c:v>1.9518098626248983E-7</c:v>
                </c:pt>
                <c:pt idx="1">
                  <c:v>1.7653514315205708E-5</c:v>
                </c:pt>
                <c:pt idx="2">
                  <c:v>8.9505547305953183E-4</c:v>
                </c:pt>
                <c:pt idx="3">
                  <c:v>2.543863731562155E-2</c:v>
                </c:pt>
                <c:pt idx="4">
                  <c:v>0.40528716198255954</c:v>
                </c:pt>
                <c:pt idx="5">
                  <c:v>3.6195698601858624</c:v>
                </c:pt>
                <c:pt idx="6">
                  <c:v>18.120750967450306</c:v>
                </c:pt>
                <c:pt idx="7">
                  <c:v>50.853463057040159</c:v>
                </c:pt>
                <c:pt idx="8">
                  <c:v>80</c:v>
                </c:pt>
                <c:pt idx="9">
                  <c:v>70.547975167995261</c:v>
                </c:pt>
                <c:pt idx="10">
                  <c:v>34.87419826985699</c:v>
                </c:pt>
                <c:pt idx="11">
                  <c:v>9.6638242657916198</c:v>
                </c:pt>
                <c:pt idx="12">
                  <c:v>1.5011321550595893</c:v>
                </c:pt>
                <c:pt idx="13">
                  <c:v>0.13071154394402137</c:v>
                </c:pt>
                <c:pt idx="14">
                  <c:v>6.3801967817444238E-3</c:v>
                </c:pt>
              </c:numCache>
            </c:numRef>
          </c:val>
          <c:smooth val="1"/>
          <c:extLst>
            <c:ext xmlns:c16="http://schemas.microsoft.com/office/drawing/2014/chart" uri="{C3380CC4-5D6E-409C-BE32-E72D297353CC}">
              <c16:uniqueId val="{00000001-D4CE-4EEC-9D34-AB3FBA185BEF}"/>
            </c:ext>
          </c:extLst>
        </c:ser>
        <c:dLbls>
          <c:showLegendKey val="0"/>
          <c:showVal val="0"/>
          <c:showCatName val="0"/>
          <c:showSerName val="0"/>
          <c:showPercent val="0"/>
          <c:showBubbleSize val="0"/>
        </c:dLbls>
        <c:marker val="1"/>
        <c:smooth val="0"/>
        <c:axId val="975788160"/>
        <c:axId val="975786192"/>
      </c:lineChart>
      <c:catAx>
        <c:axId val="975788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5786192"/>
        <c:crosses val="autoZero"/>
        <c:auto val="1"/>
        <c:lblAlgn val="ctr"/>
        <c:lblOffset val="100"/>
        <c:noMultiLvlLbl val="0"/>
      </c:catAx>
      <c:valAx>
        <c:axId val="975786192"/>
        <c:scaling>
          <c:orientation val="minMax"/>
        </c:scaling>
        <c:delete val="1"/>
        <c:axPos val="l"/>
        <c:numFmt formatCode="General" sourceLinked="1"/>
        <c:majorTickMark val="none"/>
        <c:minorTickMark val="none"/>
        <c:tickLblPos val="nextTo"/>
        <c:crossAx val="9757881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0121126091825152E-2"/>
          <c:y val="3.7199892497097993E-2"/>
          <c:w val="0.92744489377005213"/>
          <c:h val="0.9216486828035384"/>
        </c:manualLayout>
      </c:layout>
      <c:scatterChart>
        <c:scatterStyle val="lineMarker"/>
        <c:varyColors val="0"/>
        <c:ser>
          <c:idx val="0"/>
          <c:order val="0"/>
          <c:spPr>
            <a:ln w="19050" cap="rnd">
              <a:noFill/>
              <a:round/>
            </a:ln>
            <a:effectLst/>
          </c:spPr>
          <c:marker>
            <c:symbol val="circle"/>
            <c:size val="5"/>
            <c:spPr>
              <a:solidFill>
                <a:srgbClr val="548BE9"/>
              </a:solidFill>
              <a:ln w="9525">
                <a:solidFill>
                  <a:srgbClr val="548BE9"/>
                </a:solidFill>
              </a:ln>
              <a:effectLst/>
            </c:spPr>
          </c:marker>
          <c:xVal>
            <c:numRef>
              <c:f>'4'!$D$10:$D$249</c:f>
              <c:numCache>
                <c:formatCode>0.000</c:formatCode>
                <c:ptCount val="240"/>
                <c:pt idx="0">
                  <c:v>0.24206447726689007</c:v>
                </c:pt>
                <c:pt idx="1">
                  <c:v>0.77346664298221235</c:v>
                </c:pt>
                <c:pt idx="2">
                  <c:v>-1.3254498662865988</c:v>
                </c:pt>
                <c:pt idx="3">
                  <c:v>0.97740385204301283</c:v>
                </c:pt>
                <c:pt idx="4">
                  <c:v>0.7234048145441152</c:v>
                </c:pt>
                <c:pt idx="5">
                  <c:v>-0.7865575636286648</c:v>
                </c:pt>
                <c:pt idx="6">
                  <c:v>-0.32826520186539643</c:v>
                </c:pt>
                <c:pt idx="7">
                  <c:v>1.7257950745215966</c:v>
                </c:pt>
                <c:pt idx="8">
                  <c:v>1.2165153962579556</c:v>
                </c:pt>
                <c:pt idx="9">
                  <c:v>0.61134648027270089</c:v>
                </c:pt>
                <c:pt idx="10">
                  <c:v>-1.32695329798449</c:v>
                </c:pt>
                <c:pt idx="11">
                  <c:v>1.5858768393669287</c:v>
                </c:pt>
                <c:pt idx="12">
                  <c:v>-1.3153007686352969</c:v>
                </c:pt>
                <c:pt idx="13">
                  <c:v>-0.76095299879661571</c:v>
                </c:pt>
                <c:pt idx="14">
                  <c:v>0.47675982961599139</c:v>
                </c:pt>
                <c:pt idx="15">
                  <c:v>1.016638705377404</c:v>
                </c:pt>
                <c:pt idx="16">
                  <c:v>-0.27729049817893925</c:v>
                </c:pt>
                <c:pt idx="17">
                  <c:v>0.1590472546846522</c:v>
                </c:pt>
                <c:pt idx="18">
                  <c:v>-1.0359557265029684</c:v>
                </c:pt>
                <c:pt idx="19">
                  <c:v>-0.41253255396148658</c:v>
                </c:pt>
                <c:pt idx="20">
                  <c:v>5.3340951566616113E-2</c:v>
                </c:pt>
                <c:pt idx="21">
                  <c:v>0.31538245738742532</c:v>
                </c:pt>
                <c:pt idx="22">
                  <c:v>1.2152667197452338</c:v>
                </c:pt>
                <c:pt idx="23">
                  <c:v>1.464684256119142</c:v>
                </c:pt>
                <c:pt idx="24">
                  <c:v>0.91694309661627393</c:v>
                </c:pt>
                <c:pt idx="25">
                  <c:v>0.51182625947192584</c:v>
                </c:pt>
                <c:pt idx="26">
                  <c:v>1.0388851045047387</c:v>
                </c:pt>
                <c:pt idx="27">
                  <c:v>-0.82093623797128146</c:v>
                </c:pt>
                <c:pt idx="28">
                  <c:v>-0.15263740464930287</c:v>
                </c:pt>
                <c:pt idx="29">
                  <c:v>1.649399879689506</c:v>
                </c:pt>
                <c:pt idx="30">
                  <c:v>-5.6173231482581354E-2</c:v>
                </c:pt>
                <c:pt idx="31">
                  <c:v>0.5252987407492471</c:v>
                </c:pt>
                <c:pt idx="32">
                  <c:v>-0.8695205015169849</c:v>
                </c:pt>
                <c:pt idx="33">
                  <c:v>-5.2345897920791362E-2</c:v>
                </c:pt>
                <c:pt idx="34">
                  <c:v>1.6601868453335777</c:v>
                </c:pt>
                <c:pt idx="35">
                  <c:v>1.5761728703333366</c:v>
                </c:pt>
                <c:pt idx="36">
                  <c:v>0.5363378242906558</c:v>
                </c:pt>
                <c:pt idx="37">
                  <c:v>0.78544406085758744</c:v>
                </c:pt>
                <c:pt idx="38">
                  <c:v>3.0392781996116502</c:v>
                </c:pt>
                <c:pt idx="39">
                  <c:v>0.12140235032149782</c:v>
                </c:pt>
                <c:pt idx="40">
                  <c:v>2.5227539167509638</c:v>
                </c:pt>
                <c:pt idx="41">
                  <c:v>1.0873810250646709</c:v>
                </c:pt>
                <c:pt idx="42">
                  <c:v>0.72519270707680494</c:v>
                </c:pt>
                <c:pt idx="43">
                  <c:v>-1.6950359064547893</c:v>
                </c:pt>
                <c:pt idx="44">
                  <c:v>-1.2049393654133711</c:v>
                </c:pt>
                <c:pt idx="45">
                  <c:v>0.83444641719214729</c:v>
                </c:pt>
                <c:pt idx="46">
                  <c:v>0.39893344096981753</c:v>
                </c:pt>
                <c:pt idx="47">
                  <c:v>1.2602712189521137</c:v>
                </c:pt>
                <c:pt idx="48">
                  <c:v>0.65476195483118449</c:v>
                </c:pt>
                <c:pt idx="49">
                  <c:v>-0.14566112853530155</c:v>
                </c:pt>
                <c:pt idx="50">
                  <c:v>5.377488764468108</c:v>
                </c:pt>
                <c:pt idx="51">
                  <c:v>3.5444483625123313</c:v>
                </c:pt>
                <c:pt idx="52">
                  <c:v>-3.0811817882681614</c:v>
                </c:pt>
                <c:pt idx="53">
                  <c:v>-0.54369245525816012</c:v>
                </c:pt>
                <c:pt idx="54">
                  <c:v>2.2610590174996226</c:v>
                </c:pt>
                <c:pt idx="55">
                  <c:v>-1.8985672233172157</c:v>
                </c:pt>
                <c:pt idx="56">
                  <c:v>-1.0089408659124</c:v>
                </c:pt>
                <c:pt idx="57">
                  <c:v>-0.19711412106332427</c:v>
                </c:pt>
                <c:pt idx="58">
                  <c:v>0.40199173375896624</c:v>
                </c:pt>
                <c:pt idx="59">
                  <c:v>0.92942733426359947</c:v>
                </c:pt>
                <c:pt idx="60">
                  <c:v>0.78610148489355325</c:v>
                </c:pt>
                <c:pt idx="61">
                  <c:v>-5.7464035846233052E-2</c:v>
                </c:pt>
                <c:pt idx="62">
                  <c:v>1.4117852488144678</c:v>
                </c:pt>
                <c:pt idx="63">
                  <c:v>-2.6387594061356379</c:v>
                </c:pt>
                <c:pt idx="64">
                  <c:v>1.5785121596818552</c:v>
                </c:pt>
                <c:pt idx="65">
                  <c:v>0.39455388589699769</c:v>
                </c:pt>
                <c:pt idx="66">
                  <c:v>-0.85115557492840832</c:v>
                </c:pt>
                <c:pt idx="67">
                  <c:v>1.0559812676187219</c:v>
                </c:pt>
                <c:pt idx="68">
                  <c:v>1.721281504137151</c:v>
                </c:pt>
                <c:pt idx="69">
                  <c:v>1.8698930887457665</c:v>
                </c:pt>
                <c:pt idx="70">
                  <c:v>0.67585868587130005</c:v>
                </c:pt>
                <c:pt idx="71">
                  <c:v>2.047444636340745</c:v>
                </c:pt>
                <c:pt idx="72">
                  <c:v>2.6363892013492318E-3</c:v>
                </c:pt>
                <c:pt idx="73">
                  <c:v>-0.17846419731387675</c:v>
                </c:pt>
                <c:pt idx="74">
                  <c:v>-0.68145987500577432</c:v>
                </c:pt>
                <c:pt idx="75">
                  <c:v>-1.8246967456386209</c:v>
                </c:pt>
                <c:pt idx="76">
                  <c:v>6.5457286863246367E-3</c:v>
                </c:pt>
                <c:pt idx="77">
                  <c:v>-8.5239369905765194E-2</c:v>
                </c:pt>
                <c:pt idx="78">
                  <c:v>-5.6849627089039512E-2</c:v>
                </c:pt>
                <c:pt idx="79">
                  <c:v>1.1536114396787589</c:v>
                </c:pt>
                <c:pt idx="80">
                  <c:v>1.580042632997225</c:v>
                </c:pt>
                <c:pt idx="81">
                  <c:v>-0.30700172161463035</c:v>
                </c:pt>
                <c:pt idx="82">
                  <c:v>1.8257653261981588</c:v>
                </c:pt>
                <c:pt idx="83">
                  <c:v>2.8018603468612291</c:v>
                </c:pt>
                <c:pt idx="84">
                  <c:v>1.602373136677393</c:v>
                </c:pt>
                <c:pt idx="85">
                  <c:v>-0.75950680119218905</c:v>
                </c:pt>
                <c:pt idx="86">
                  <c:v>0.73033899686918424</c:v>
                </c:pt>
                <c:pt idx="87">
                  <c:v>0.94564904591136756</c:v>
                </c:pt>
                <c:pt idx="88">
                  <c:v>0.45092027482835917</c:v>
                </c:pt>
                <c:pt idx="89">
                  <c:v>-0.70922856725732508</c:v>
                </c:pt>
                <c:pt idx="90">
                  <c:v>-1.0322779235163448</c:v>
                </c:pt>
                <c:pt idx="91">
                  <c:v>1.5254117264811518</c:v>
                </c:pt>
                <c:pt idx="92">
                  <c:v>1.832573151801542</c:v>
                </c:pt>
                <c:pt idx="93">
                  <c:v>-0.3773916862357507</c:v>
                </c:pt>
                <c:pt idx="94">
                  <c:v>1.0669684654837752</c:v>
                </c:pt>
                <c:pt idx="95">
                  <c:v>-0.13478922593235243</c:v>
                </c:pt>
                <c:pt idx="96">
                  <c:v>-0.34400613881659936</c:v>
                </c:pt>
                <c:pt idx="97">
                  <c:v>-0.17316643948622756</c:v>
                </c:pt>
                <c:pt idx="98">
                  <c:v>0.57531373731054547</c:v>
                </c:pt>
                <c:pt idx="99">
                  <c:v>-0.49419567051486313</c:v>
                </c:pt>
                <c:pt idx="100">
                  <c:v>-0.95016863564771903</c:v>
                </c:pt>
                <c:pt idx="101">
                  <c:v>0.59378731064057</c:v>
                </c:pt>
                <c:pt idx="102">
                  <c:v>0.10737913451743797</c:v>
                </c:pt>
                <c:pt idx="103">
                  <c:v>1.0531370167573773</c:v>
                </c:pt>
                <c:pt idx="104">
                  <c:v>-2.0148458119876533</c:v>
                </c:pt>
                <c:pt idx="105">
                  <c:v>-1.2550513797482843</c:v>
                </c:pt>
                <c:pt idx="106">
                  <c:v>-0.19451251847627526</c:v>
                </c:pt>
                <c:pt idx="107">
                  <c:v>-0.53898417918450958</c:v>
                </c:pt>
                <c:pt idx="108">
                  <c:v>0.76369728708005624</c:v>
                </c:pt>
                <c:pt idx="109">
                  <c:v>0.54804354642623565</c:v>
                </c:pt>
                <c:pt idx="110">
                  <c:v>-0.42729139111795655</c:v>
                </c:pt>
                <c:pt idx="111">
                  <c:v>-1.0392957075136766</c:v>
                </c:pt>
                <c:pt idx="112">
                  <c:v>1.5969001717037301</c:v>
                </c:pt>
                <c:pt idx="113">
                  <c:v>0.31205105942291311</c:v>
                </c:pt>
                <c:pt idx="114">
                  <c:v>-0.2817973742041735</c:v>
                </c:pt>
                <c:pt idx="115">
                  <c:v>0.62432860090160247</c:v>
                </c:pt>
                <c:pt idx="116">
                  <c:v>1.0908523280633409</c:v>
                </c:pt>
                <c:pt idx="117">
                  <c:v>-0.15609181018162444</c:v>
                </c:pt>
                <c:pt idx="118">
                  <c:v>-0.14961171557231756</c:v>
                </c:pt>
                <c:pt idx="119">
                  <c:v>1.2175428530638577</c:v>
                </c:pt>
                <c:pt idx="120">
                  <c:v>-0.63298466173178358</c:v>
                </c:pt>
                <c:pt idx="121">
                  <c:v>1.0856203181201174</c:v>
                </c:pt>
                <c:pt idx="122">
                  <c:v>0.92188180995642632</c:v>
                </c:pt>
                <c:pt idx="123">
                  <c:v>0.25858855279670134</c:v>
                </c:pt>
                <c:pt idx="124">
                  <c:v>2.8827648147808693</c:v>
                </c:pt>
                <c:pt idx="125">
                  <c:v>-1.7481816683666107</c:v>
                </c:pt>
                <c:pt idx="126">
                  <c:v>0.65880564035545319</c:v>
                </c:pt>
                <c:pt idx="127">
                  <c:v>-0.61820809081205574</c:v>
                </c:pt>
                <c:pt idx="128">
                  <c:v>-0.23382848175917958</c:v>
                </c:pt>
                <c:pt idx="129">
                  <c:v>-0.9962299900720839</c:v>
                </c:pt>
                <c:pt idx="130">
                  <c:v>0.93933699796231451</c:v>
                </c:pt>
                <c:pt idx="131">
                  <c:v>5.7009692297005365E-2</c:v>
                </c:pt>
                <c:pt idx="132">
                  <c:v>0.89755328959022496</c:v>
                </c:pt>
                <c:pt idx="133">
                  <c:v>-0.35650933433152288</c:v>
                </c:pt>
                <c:pt idx="134">
                  <c:v>-0.4225256655618348</c:v>
                </c:pt>
                <c:pt idx="135">
                  <c:v>-0.15686691398054675</c:v>
                </c:pt>
                <c:pt idx="136">
                  <c:v>2.1998469118457598</c:v>
                </c:pt>
                <c:pt idx="137">
                  <c:v>0.98407227159911237</c:v>
                </c:pt>
                <c:pt idx="138">
                  <c:v>0.13902308915594297</c:v>
                </c:pt>
                <c:pt idx="139">
                  <c:v>-0.12004718966450723</c:v>
                </c:pt>
                <c:pt idx="140">
                  <c:v>3.748514902548461E-2</c:v>
                </c:pt>
                <c:pt idx="141">
                  <c:v>2.3245915429732422</c:v>
                </c:pt>
                <c:pt idx="142">
                  <c:v>0.42456896419305057</c:v>
                </c:pt>
                <c:pt idx="143">
                  <c:v>-0.57267215803793459</c:v>
                </c:pt>
                <c:pt idx="144">
                  <c:v>-0.18386753168915249</c:v>
                </c:pt>
                <c:pt idx="145">
                  <c:v>-1.151288919576221</c:v>
                </c:pt>
                <c:pt idx="146">
                  <c:v>-2.7309126741589806</c:v>
                </c:pt>
                <c:pt idx="147">
                  <c:v>-0.11464242847030182</c:v>
                </c:pt>
                <c:pt idx="148">
                  <c:v>0.22582492213598648</c:v>
                </c:pt>
                <c:pt idx="149">
                  <c:v>0.51711262346592068</c:v>
                </c:pt>
                <c:pt idx="150">
                  <c:v>-5.8683501589096299E-2</c:v>
                </c:pt>
                <c:pt idx="151">
                  <c:v>0.70034395590732323</c:v>
                </c:pt>
                <c:pt idx="152">
                  <c:v>0.67014878125990496</c:v>
                </c:pt>
                <c:pt idx="153">
                  <c:v>-0.14999198156073756</c:v>
                </c:pt>
                <c:pt idx="154">
                  <c:v>0.15204383699691792</c:v>
                </c:pt>
                <c:pt idx="155">
                  <c:v>1.1306736498137848</c:v>
                </c:pt>
                <c:pt idx="156">
                  <c:v>-0.87948893503050352</c:v>
                </c:pt>
                <c:pt idx="157">
                  <c:v>-0.10979014398193598</c:v>
                </c:pt>
                <c:pt idx="158">
                  <c:v>-0.12127873382741239</c:v>
                </c:pt>
                <c:pt idx="159">
                  <c:v>0.34610496714706507</c:v>
                </c:pt>
                <c:pt idx="160">
                  <c:v>-1.3959378934221722</c:v>
                </c:pt>
                <c:pt idx="161">
                  <c:v>-0.78760874663250657</c:v>
                </c:pt>
                <c:pt idx="162">
                  <c:v>0.98789062099642333</c:v>
                </c:pt>
                <c:pt idx="163">
                  <c:v>-0.82301211651442108</c:v>
                </c:pt>
                <c:pt idx="164">
                  <c:v>0.90818911567323024</c:v>
                </c:pt>
                <c:pt idx="165">
                  <c:v>2.8901898968847206E-2</c:v>
                </c:pt>
                <c:pt idx="166">
                  <c:v>-0.45336258171457811</c:v>
                </c:pt>
                <c:pt idx="167">
                  <c:v>0.78100533909761793</c:v>
                </c:pt>
                <c:pt idx="168">
                  <c:v>-0.9780070004711594</c:v>
                </c:pt>
                <c:pt idx="169">
                  <c:v>-0.52709561006659689</c:v>
                </c:pt>
                <c:pt idx="170">
                  <c:v>0.90031053371659731</c:v>
                </c:pt>
                <c:pt idx="171">
                  <c:v>2.219667593196295</c:v>
                </c:pt>
                <c:pt idx="172">
                  <c:v>0.46694430922893382</c:v>
                </c:pt>
                <c:pt idx="173">
                  <c:v>-0.27752785488605047</c:v>
                </c:pt>
                <c:pt idx="174">
                  <c:v>1.9871317951636103</c:v>
                </c:pt>
                <c:pt idx="175">
                  <c:v>-0.3235594213409243</c:v>
                </c:pt>
                <c:pt idx="176">
                  <c:v>2.4430574842440933</c:v>
                </c:pt>
                <c:pt idx="177">
                  <c:v>0.92802295657687939</c:v>
                </c:pt>
                <c:pt idx="178">
                  <c:v>-0.10532070272051275</c:v>
                </c:pt>
                <c:pt idx="179">
                  <c:v>3.5535343864688151</c:v>
                </c:pt>
                <c:pt idx="180">
                  <c:v>-0.90342588454982442</c:v>
                </c:pt>
                <c:pt idx="181">
                  <c:v>3.0695886693599128E-2</c:v>
                </c:pt>
                <c:pt idx="182">
                  <c:v>-0.30761312252364226</c:v>
                </c:pt>
                <c:pt idx="183">
                  <c:v>-0.6162005891732214</c:v>
                </c:pt>
                <c:pt idx="184">
                  <c:v>2.5643424492520994</c:v>
                </c:pt>
                <c:pt idx="185">
                  <c:v>2.7281550152716161</c:v>
                </c:pt>
                <c:pt idx="186">
                  <c:v>3.2641882382009157</c:v>
                </c:pt>
                <c:pt idx="187">
                  <c:v>0.40531345700494104</c:v>
                </c:pt>
                <c:pt idx="188">
                  <c:v>-0.30809051435478629</c:v>
                </c:pt>
                <c:pt idx="189">
                  <c:v>0.10868782264197296</c:v>
                </c:pt>
                <c:pt idx="190">
                  <c:v>1.2115901614529578</c:v>
                </c:pt>
                <c:pt idx="191">
                  <c:v>-1.2016152135081337</c:v>
                </c:pt>
                <c:pt idx="192">
                  <c:v>0.18500889599100123</c:v>
                </c:pt>
                <c:pt idx="193">
                  <c:v>-1.0096313199052798</c:v>
                </c:pt>
                <c:pt idx="194">
                  <c:v>0.38089454052951943</c:v>
                </c:pt>
                <c:pt idx="195">
                  <c:v>-0.28269958831873554</c:v>
                </c:pt>
                <c:pt idx="196">
                  <c:v>-1.1228896488291951</c:v>
                </c:pt>
                <c:pt idx="197">
                  <c:v>-2.2862166673725981</c:v>
                </c:pt>
                <c:pt idx="198">
                  <c:v>-1.2653570914514911</c:v>
                </c:pt>
                <c:pt idx="199">
                  <c:v>0.84046100400529955</c:v>
                </c:pt>
                <c:pt idx="200">
                  <c:v>0.29767087748440169</c:v>
                </c:pt>
                <c:pt idx="201">
                  <c:v>0.86882529944476428</c:v>
                </c:pt>
                <c:pt idx="202">
                  <c:v>1.3395155145788706</c:v>
                </c:pt>
                <c:pt idx="203">
                  <c:v>-0.15608667247386521</c:v>
                </c:pt>
                <c:pt idx="204">
                  <c:v>-1.2014615583012089</c:v>
                </c:pt>
                <c:pt idx="205">
                  <c:v>3.1127562849819768E-2</c:v>
                </c:pt>
                <c:pt idx="206">
                  <c:v>0.89050093712257361</c:v>
                </c:pt>
                <c:pt idx="207">
                  <c:v>-0.57005265768458324</c:v>
                </c:pt>
                <c:pt idx="208">
                  <c:v>-1.8864479239942833</c:v>
                </c:pt>
                <c:pt idx="209">
                  <c:v>-0.75924389532928682</c:v>
                </c:pt>
                <c:pt idx="210">
                  <c:v>-3.0054746669558874</c:v>
                </c:pt>
                <c:pt idx="211">
                  <c:v>-3.2081456896948302</c:v>
                </c:pt>
                <c:pt idx="212">
                  <c:v>6.2212665030525471E-2</c:v>
                </c:pt>
                <c:pt idx="213">
                  <c:v>-0.72396013408896343</c:v>
                </c:pt>
                <c:pt idx="214">
                  <c:v>1.65865653968571</c:v>
                </c:pt>
                <c:pt idx="215">
                  <c:v>-2.6175212402140158</c:v>
                </c:pt>
                <c:pt idx="216">
                  <c:v>-3.7510852028801778</c:v>
                </c:pt>
                <c:pt idx="217">
                  <c:v>-1.5219530427619032</c:v>
                </c:pt>
                <c:pt idx="218">
                  <c:v>2.8126175985148771</c:v>
                </c:pt>
                <c:pt idx="219">
                  <c:v>-0.52423174935820605</c:v>
                </c:pt>
                <c:pt idx="220">
                  <c:v>2.5942010417448813</c:v>
                </c:pt>
                <c:pt idx="221">
                  <c:v>-2.4088299362497012</c:v>
                </c:pt>
                <c:pt idx="222">
                  <c:v>2.9576955176613406</c:v>
                </c:pt>
                <c:pt idx="223">
                  <c:v>0.54692115776100447</c:v>
                </c:pt>
                <c:pt idx="224">
                  <c:v>-1.2280652613657628</c:v>
                </c:pt>
                <c:pt idx="225">
                  <c:v>-0.72523719399045783</c:v>
                </c:pt>
                <c:pt idx="226">
                  <c:v>-0.39619306898106554</c:v>
                </c:pt>
                <c:pt idx="227">
                  <c:v>-0.58212682970623097</c:v>
                </c:pt>
                <c:pt idx="228">
                  <c:v>-2.3814615369661118</c:v>
                </c:pt>
                <c:pt idx="229">
                  <c:v>-1.3222119008064914</c:v>
                </c:pt>
                <c:pt idx="230">
                  <c:v>3.6058675096936943</c:v>
                </c:pt>
                <c:pt idx="231">
                  <c:v>3.4108103352938235</c:v>
                </c:pt>
                <c:pt idx="232">
                  <c:v>-0.1757284497190037</c:v>
                </c:pt>
                <c:pt idx="233">
                  <c:v>-1.3544927682674235</c:v>
                </c:pt>
                <c:pt idx="234">
                  <c:v>0.59849053762950355</c:v>
                </c:pt>
                <c:pt idx="235">
                  <c:v>-2.3629127828662222</c:v>
                </c:pt>
                <c:pt idx="236">
                  <c:v>1.4948289748290211</c:v>
                </c:pt>
                <c:pt idx="237">
                  <c:v>1.0307957423734804</c:v>
                </c:pt>
                <c:pt idx="238">
                  <c:v>2.2345287130690394</c:v>
                </c:pt>
                <c:pt idx="239">
                  <c:v>1.3087645092837219</c:v>
                </c:pt>
              </c:numCache>
            </c:numRef>
          </c:xVal>
          <c:yVal>
            <c:numRef>
              <c:f>'4'!$E$10:$E$249</c:f>
              <c:numCache>
                <c:formatCode>0.000</c:formatCode>
                <c:ptCount val="240"/>
                <c:pt idx="0">
                  <c:v>0.89162539096370175</c:v>
                </c:pt>
                <c:pt idx="1">
                  <c:v>0.99438786693712977</c:v>
                </c:pt>
                <c:pt idx="2">
                  <c:v>1.2979250424603128</c:v>
                </c:pt>
                <c:pt idx="3">
                  <c:v>0.67525171023521402</c:v>
                </c:pt>
                <c:pt idx="4">
                  <c:v>-0.15944653136231723</c:v>
                </c:pt>
                <c:pt idx="5">
                  <c:v>-0.30417659159809318</c:v>
                </c:pt>
                <c:pt idx="6">
                  <c:v>0.38502916990494906</c:v>
                </c:pt>
                <c:pt idx="7">
                  <c:v>1.5195030215948702</c:v>
                </c:pt>
                <c:pt idx="8">
                  <c:v>1.6822520164379018</c:v>
                </c:pt>
                <c:pt idx="9">
                  <c:v>1.5594423802170354</c:v>
                </c:pt>
                <c:pt idx="10">
                  <c:v>-0.77298892274949571</c:v>
                </c:pt>
                <c:pt idx="11">
                  <c:v>1.3982866316973208</c:v>
                </c:pt>
                <c:pt idx="12">
                  <c:v>-0.2825315985070409</c:v>
                </c:pt>
                <c:pt idx="13">
                  <c:v>8.1319366544629901E-2</c:v>
                </c:pt>
                <c:pt idx="14">
                  <c:v>1.1916614210654597</c:v>
                </c:pt>
                <c:pt idx="15">
                  <c:v>1.3823363722199833</c:v>
                </c:pt>
                <c:pt idx="16">
                  <c:v>0.80766846774646961</c:v>
                </c:pt>
                <c:pt idx="17">
                  <c:v>0.10589470153843372</c:v>
                </c:pt>
                <c:pt idx="18">
                  <c:v>-1.495692690447592</c:v>
                </c:pt>
                <c:pt idx="19">
                  <c:v>-1.5105302523324093</c:v>
                </c:pt>
                <c:pt idx="20">
                  <c:v>0.73527295749518107</c:v>
                </c:pt>
                <c:pt idx="21">
                  <c:v>-0.54278735591138938</c:v>
                </c:pt>
                <c:pt idx="22">
                  <c:v>1.3565548199106159</c:v>
                </c:pt>
                <c:pt idx="23">
                  <c:v>1.0824010252502569</c:v>
                </c:pt>
                <c:pt idx="24">
                  <c:v>0.43455439484016978</c:v>
                </c:pt>
                <c:pt idx="25">
                  <c:v>0.84270664844989795</c:v>
                </c:pt>
                <c:pt idx="26">
                  <c:v>9.5961467779859255E-2</c:v>
                </c:pt>
                <c:pt idx="27">
                  <c:v>-1.2751868609662154</c:v>
                </c:pt>
                <c:pt idx="28">
                  <c:v>-1.4765361780931796</c:v>
                </c:pt>
                <c:pt idx="29">
                  <c:v>1.7837708913484018</c:v>
                </c:pt>
                <c:pt idx="30">
                  <c:v>-1.1064727882183156</c:v>
                </c:pt>
                <c:pt idx="31">
                  <c:v>-0.36170479866929339</c:v>
                </c:pt>
                <c:pt idx="32">
                  <c:v>-1.018497373829641</c:v>
                </c:pt>
                <c:pt idx="33">
                  <c:v>-1.3268351981263082</c:v>
                </c:pt>
                <c:pt idx="34">
                  <c:v>2.6600059018074607</c:v>
                </c:pt>
                <c:pt idx="35">
                  <c:v>1.5646082196514532</c:v>
                </c:pt>
                <c:pt idx="36">
                  <c:v>-1.3764177876474104E-2</c:v>
                </c:pt>
                <c:pt idx="37">
                  <c:v>0.91026222048298244</c:v>
                </c:pt>
                <c:pt idx="38">
                  <c:v>1.8099270081943342</c:v>
                </c:pt>
                <c:pt idx="39">
                  <c:v>1.7774499028921475</c:v>
                </c:pt>
                <c:pt idx="40">
                  <c:v>0.34155996307780878</c:v>
                </c:pt>
                <c:pt idx="41">
                  <c:v>0.31356650573102218</c:v>
                </c:pt>
                <c:pt idx="42">
                  <c:v>0.78286197997801121</c:v>
                </c:pt>
                <c:pt idx="43">
                  <c:v>-1.6057651225832137</c:v>
                </c:pt>
                <c:pt idx="44">
                  <c:v>-1.6789499190090873</c:v>
                </c:pt>
                <c:pt idx="45">
                  <c:v>-0.67135135461037221</c:v>
                </c:pt>
                <c:pt idx="46">
                  <c:v>2.6777584888252104</c:v>
                </c:pt>
                <c:pt idx="47">
                  <c:v>2.0733635812778095</c:v>
                </c:pt>
                <c:pt idx="48">
                  <c:v>6.9643630214044627E-2</c:v>
                </c:pt>
                <c:pt idx="49">
                  <c:v>0.23396128136121686</c:v>
                </c:pt>
                <c:pt idx="50">
                  <c:v>4.6408769597420241</c:v>
                </c:pt>
                <c:pt idx="51">
                  <c:v>5.4233163702378295</c:v>
                </c:pt>
                <c:pt idx="52">
                  <c:v>-4.7935086840063317</c:v>
                </c:pt>
                <c:pt idx="53">
                  <c:v>1.5310862741001685</c:v>
                </c:pt>
                <c:pt idx="54">
                  <c:v>2.6486067943817027</c:v>
                </c:pt>
                <c:pt idx="55">
                  <c:v>-1.3829728311182676</c:v>
                </c:pt>
                <c:pt idx="56">
                  <c:v>-0.9025055930206638</c:v>
                </c:pt>
                <c:pt idx="57">
                  <c:v>0.81963894863830156</c:v>
                </c:pt>
                <c:pt idx="58">
                  <c:v>-0.78821413083630665</c:v>
                </c:pt>
                <c:pt idx="59">
                  <c:v>3.9107283306553997</c:v>
                </c:pt>
                <c:pt idx="60">
                  <c:v>0.18877453647021536</c:v>
                </c:pt>
                <c:pt idx="61">
                  <c:v>-0.26072814684747758</c:v>
                </c:pt>
                <c:pt idx="62">
                  <c:v>0.9012918473169762</c:v>
                </c:pt>
                <c:pt idx="63">
                  <c:v>-2.8346274191679233</c:v>
                </c:pt>
                <c:pt idx="64">
                  <c:v>0.79857301125370039</c:v>
                </c:pt>
                <c:pt idx="65">
                  <c:v>-0.39375668860485158</c:v>
                </c:pt>
                <c:pt idx="66">
                  <c:v>0.86955718315213648</c:v>
                </c:pt>
                <c:pt idx="67">
                  <c:v>0.63476901133843189</c:v>
                </c:pt>
                <c:pt idx="68">
                  <c:v>2.4270998847953251</c:v>
                </c:pt>
                <c:pt idx="69">
                  <c:v>1.5938161709820209</c:v>
                </c:pt>
                <c:pt idx="70">
                  <c:v>-0.28102418257450745</c:v>
                </c:pt>
                <c:pt idx="71">
                  <c:v>4.6996508938170756</c:v>
                </c:pt>
                <c:pt idx="72">
                  <c:v>-0.58129862855651471</c:v>
                </c:pt>
                <c:pt idx="73">
                  <c:v>-1.428337542705671</c:v>
                </c:pt>
                <c:pt idx="74">
                  <c:v>-0.64495170495139087</c:v>
                </c:pt>
                <c:pt idx="75">
                  <c:v>-0.19716301595494867</c:v>
                </c:pt>
                <c:pt idx="76">
                  <c:v>-1.9215800260119154</c:v>
                </c:pt>
                <c:pt idx="77">
                  <c:v>0.77756318328741081</c:v>
                </c:pt>
                <c:pt idx="78">
                  <c:v>0.37967617248537699</c:v>
                </c:pt>
                <c:pt idx="79">
                  <c:v>1.9358891124702682</c:v>
                </c:pt>
                <c:pt idx="80">
                  <c:v>1.2953500379946581</c:v>
                </c:pt>
                <c:pt idx="81">
                  <c:v>-0.65243656866692534</c:v>
                </c:pt>
                <c:pt idx="82">
                  <c:v>3.5436567769228988</c:v>
                </c:pt>
                <c:pt idx="83">
                  <c:v>2.1769109765304551</c:v>
                </c:pt>
                <c:pt idx="84">
                  <c:v>2.9188288998260203</c:v>
                </c:pt>
                <c:pt idx="85">
                  <c:v>1.1550241829368035</c:v>
                </c:pt>
                <c:pt idx="86">
                  <c:v>2.547239565766235</c:v>
                </c:pt>
                <c:pt idx="87">
                  <c:v>1.7025110725894743</c:v>
                </c:pt>
                <c:pt idx="88">
                  <c:v>0.22501335226703389</c:v>
                </c:pt>
                <c:pt idx="89">
                  <c:v>-1.3175140554102183</c:v>
                </c:pt>
                <c:pt idx="90">
                  <c:v>-0.83354812872385997</c:v>
                </c:pt>
                <c:pt idx="91">
                  <c:v>0.54433049926319033</c:v>
                </c:pt>
                <c:pt idx="92">
                  <c:v>4.3556381660470933</c:v>
                </c:pt>
                <c:pt idx="93">
                  <c:v>-0.95465833550006929</c:v>
                </c:pt>
                <c:pt idx="94">
                  <c:v>2.1241917880707062</c:v>
                </c:pt>
                <c:pt idx="95">
                  <c:v>-0.18621201249644503</c:v>
                </c:pt>
                <c:pt idx="96">
                  <c:v>-0.72636500145495386</c:v>
                </c:pt>
                <c:pt idx="97">
                  <c:v>-0.7084955117723446</c:v>
                </c:pt>
                <c:pt idx="98">
                  <c:v>0.85035692978667754</c:v>
                </c:pt>
                <c:pt idx="99">
                  <c:v>-0.46509398264261703</c:v>
                </c:pt>
                <c:pt idx="100">
                  <c:v>-2.0514670243583555</c:v>
                </c:pt>
                <c:pt idx="101">
                  <c:v>0.87826026005710656</c:v>
                </c:pt>
                <c:pt idx="102">
                  <c:v>1.7805326768036256</c:v>
                </c:pt>
                <c:pt idx="103">
                  <c:v>1.1600407975700833</c:v>
                </c:pt>
                <c:pt idx="104">
                  <c:v>-2.6315047299801719</c:v>
                </c:pt>
                <c:pt idx="105">
                  <c:v>-2.3973559258914534</c:v>
                </c:pt>
                <c:pt idx="106">
                  <c:v>0.81291765366739988</c:v>
                </c:pt>
                <c:pt idx="107">
                  <c:v>-1.1019938287504472</c:v>
                </c:pt>
                <c:pt idx="108">
                  <c:v>0.80684339265422178</c:v>
                </c:pt>
                <c:pt idx="109">
                  <c:v>0.69651468480733669</c:v>
                </c:pt>
                <c:pt idx="110">
                  <c:v>-0.96052143789180366</c:v>
                </c:pt>
                <c:pt idx="111">
                  <c:v>-1.1979156753647358</c:v>
                </c:pt>
                <c:pt idx="112">
                  <c:v>2.0992147877187062</c:v>
                </c:pt>
                <c:pt idx="113">
                  <c:v>0.14853062644915038</c:v>
                </c:pt>
                <c:pt idx="114">
                  <c:v>3.9982039481745169E-2</c:v>
                </c:pt>
                <c:pt idx="115">
                  <c:v>0.73560567936548082</c:v>
                </c:pt>
                <c:pt idx="116">
                  <c:v>0.95934743187355842</c:v>
                </c:pt>
                <c:pt idx="117">
                  <c:v>-0.55561327834465768</c:v>
                </c:pt>
                <c:pt idx="118">
                  <c:v>1.0687116082087389</c:v>
                </c:pt>
                <c:pt idx="119">
                  <c:v>3.5219736972740279</c:v>
                </c:pt>
                <c:pt idx="120">
                  <c:v>-0.66728032595788633</c:v>
                </c:pt>
                <c:pt idx="121">
                  <c:v>1.388814237510827</c:v>
                </c:pt>
                <c:pt idx="122">
                  <c:v>3.269021021516294</c:v>
                </c:pt>
                <c:pt idx="123">
                  <c:v>1.8667733919434992</c:v>
                </c:pt>
                <c:pt idx="124">
                  <c:v>4.8421038878867062</c:v>
                </c:pt>
                <c:pt idx="125">
                  <c:v>-4.4579841469764787</c:v>
                </c:pt>
                <c:pt idx="126">
                  <c:v>2.1334833914373519</c:v>
                </c:pt>
                <c:pt idx="127">
                  <c:v>-2.2529285882389338</c:v>
                </c:pt>
                <c:pt idx="128">
                  <c:v>0.43730472468279658</c:v>
                </c:pt>
                <c:pt idx="129">
                  <c:v>-1.8574680603948845</c:v>
                </c:pt>
                <c:pt idx="130">
                  <c:v>1.6635124529116307</c:v>
                </c:pt>
                <c:pt idx="131">
                  <c:v>0.29986124433103445</c:v>
                </c:pt>
                <c:pt idx="132">
                  <c:v>1.30467480618357</c:v>
                </c:pt>
                <c:pt idx="133">
                  <c:v>-1.1922808316729316</c:v>
                </c:pt>
                <c:pt idx="134">
                  <c:v>0.98266105057724928</c:v>
                </c:pt>
                <c:pt idx="135">
                  <c:v>-1.1082156763146611</c:v>
                </c:pt>
                <c:pt idx="136">
                  <c:v>3.806907159615891</c:v>
                </c:pt>
                <c:pt idx="137">
                  <c:v>1.4664354585865569</c:v>
                </c:pt>
                <c:pt idx="138">
                  <c:v>-0.13500917550929303</c:v>
                </c:pt>
                <c:pt idx="139">
                  <c:v>-1.2886038079730322</c:v>
                </c:pt>
                <c:pt idx="140">
                  <c:v>1.8533411219342266</c:v>
                </c:pt>
                <c:pt idx="141">
                  <c:v>5.908794290487096</c:v>
                </c:pt>
                <c:pt idx="142">
                  <c:v>2.1145763881287083</c:v>
                </c:pt>
                <c:pt idx="143">
                  <c:v>2.7819488422216931</c:v>
                </c:pt>
                <c:pt idx="144">
                  <c:v>-2.3908383460161553</c:v>
                </c:pt>
                <c:pt idx="145">
                  <c:v>-4.0816310010652774</c:v>
                </c:pt>
                <c:pt idx="146">
                  <c:v>-1.3657220064121289</c:v>
                </c:pt>
                <c:pt idx="147">
                  <c:v>1.8831956658264648</c:v>
                </c:pt>
                <c:pt idx="148">
                  <c:v>-1.8206737164586317</c:v>
                </c:pt>
                <c:pt idx="149">
                  <c:v>3.1746113209613069</c:v>
                </c:pt>
                <c:pt idx="150">
                  <c:v>0.33344332043885316</c:v>
                </c:pt>
                <c:pt idx="151">
                  <c:v>0.25829929004879126</c:v>
                </c:pt>
                <c:pt idx="152">
                  <c:v>0.48378456339885911</c:v>
                </c:pt>
                <c:pt idx="153">
                  <c:v>-2.0894506323715256</c:v>
                </c:pt>
                <c:pt idx="154">
                  <c:v>0.32444114949172764</c:v>
                </c:pt>
                <c:pt idx="155">
                  <c:v>2.0402999954910683</c:v>
                </c:pt>
                <c:pt idx="156">
                  <c:v>-2.6976735051589484</c:v>
                </c:pt>
                <c:pt idx="157">
                  <c:v>0.29880092777141432</c:v>
                </c:pt>
                <c:pt idx="158">
                  <c:v>0.28902291472945318</c:v>
                </c:pt>
                <c:pt idx="159">
                  <c:v>1.4687907056850413</c:v>
                </c:pt>
                <c:pt idx="160">
                  <c:v>-2.0887336918100186</c:v>
                </c:pt>
                <c:pt idx="161">
                  <c:v>0.2542278743486559</c:v>
                </c:pt>
                <c:pt idx="162">
                  <c:v>2.0697122951335745</c:v>
                </c:pt>
                <c:pt idx="163">
                  <c:v>-1.0486997340421134</c:v>
                </c:pt>
                <c:pt idx="164">
                  <c:v>1.8117068224695165</c:v>
                </c:pt>
                <c:pt idx="165">
                  <c:v>-0.59925111976940615</c:v>
                </c:pt>
                <c:pt idx="166">
                  <c:v>-0.34163102535297307</c:v>
                </c:pt>
                <c:pt idx="167">
                  <c:v>0.14569091112854871</c:v>
                </c:pt>
                <c:pt idx="168">
                  <c:v>-1.6094021538785586</c:v>
                </c:pt>
                <c:pt idx="169">
                  <c:v>0.98382838366630754</c:v>
                </c:pt>
                <c:pt idx="170">
                  <c:v>-1.2907649765921514</c:v>
                </c:pt>
                <c:pt idx="171">
                  <c:v>2.3645981466799304</c:v>
                </c:pt>
                <c:pt idx="172">
                  <c:v>1.1463823837245979</c:v>
                </c:pt>
                <c:pt idx="173">
                  <c:v>-0.94272198209849334</c:v>
                </c:pt>
                <c:pt idx="174">
                  <c:v>3.3892537293897851</c:v>
                </c:pt>
                <c:pt idx="175">
                  <c:v>-1.6365425940988221</c:v>
                </c:pt>
                <c:pt idx="176">
                  <c:v>2.8884330759330723</c:v>
                </c:pt>
                <c:pt idx="177">
                  <c:v>0.18098535777639757</c:v>
                </c:pt>
                <c:pt idx="178">
                  <c:v>2.1827279651387865</c:v>
                </c:pt>
                <c:pt idx="179">
                  <c:v>3.7678498603170629</c:v>
                </c:pt>
                <c:pt idx="180">
                  <c:v>0.53005380023993798</c:v>
                </c:pt>
                <c:pt idx="181">
                  <c:v>-1.9300375128483704</c:v>
                </c:pt>
                <c:pt idx="182">
                  <c:v>-0.8520651045224259</c:v>
                </c:pt>
                <c:pt idx="183">
                  <c:v>-1.4254360372095154</c:v>
                </c:pt>
                <c:pt idx="184">
                  <c:v>3.7600164372303402</c:v>
                </c:pt>
                <c:pt idx="185">
                  <c:v>1.3501417056203779</c:v>
                </c:pt>
                <c:pt idx="186">
                  <c:v>1.5768551653809526</c:v>
                </c:pt>
                <c:pt idx="187">
                  <c:v>3.1869837776304699</c:v>
                </c:pt>
                <c:pt idx="188">
                  <c:v>2.2105634442115552E-2</c:v>
                </c:pt>
                <c:pt idx="189">
                  <c:v>-0.59651237711222382</c:v>
                </c:pt>
                <c:pt idx="190">
                  <c:v>0.41936742915289482</c:v>
                </c:pt>
                <c:pt idx="191">
                  <c:v>-3.2218973248833827</c:v>
                </c:pt>
                <c:pt idx="192">
                  <c:v>1.5421952185063592</c:v>
                </c:pt>
                <c:pt idx="193">
                  <c:v>-0.56064073226544942</c:v>
                </c:pt>
                <c:pt idx="194">
                  <c:v>-0.47182341318037224</c:v>
                </c:pt>
                <c:pt idx="195">
                  <c:v>1.6885047373901063</c:v>
                </c:pt>
                <c:pt idx="196">
                  <c:v>-1.7652425331237342</c:v>
                </c:pt>
                <c:pt idx="197">
                  <c:v>-5.8220924899593296</c:v>
                </c:pt>
                <c:pt idx="198">
                  <c:v>1.6384638491140358E-2</c:v>
                </c:pt>
                <c:pt idx="199">
                  <c:v>0.55364938370481287</c:v>
                </c:pt>
                <c:pt idx="200">
                  <c:v>0.47027358080709014</c:v>
                </c:pt>
                <c:pt idx="201">
                  <c:v>0.74591290626015994</c:v>
                </c:pt>
                <c:pt idx="202">
                  <c:v>2.869533791109502</c:v>
                </c:pt>
                <c:pt idx="203">
                  <c:v>-0.854035917317153</c:v>
                </c:pt>
                <c:pt idx="204">
                  <c:v>-3.8405393676107624</c:v>
                </c:pt>
                <c:pt idx="205">
                  <c:v>2.261219862811803</c:v>
                </c:pt>
                <c:pt idx="206">
                  <c:v>3.1387708975866735</c:v>
                </c:pt>
                <c:pt idx="207">
                  <c:v>-2.8024268200790403</c:v>
                </c:pt>
                <c:pt idx="208">
                  <c:v>-4.0318635807098939</c:v>
                </c:pt>
                <c:pt idx="209">
                  <c:v>-1.4488142274174942</c:v>
                </c:pt>
                <c:pt idx="210">
                  <c:v>-2.1830714399902362</c:v>
                </c:pt>
                <c:pt idx="211">
                  <c:v>-2.9960728517249069</c:v>
                </c:pt>
                <c:pt idx="212">
                  <c:v>-3.1192498406059976</c:v>
                </c:pt>
                <c:pt idx="213">
                  <c:v>-1.9447312046115051</c:v>
                </c:pt>
                <c:pt idx="214">
                  <c:v>2.7280930994371788</c:v>
                </c:pt>
                <c:pt idx="215">
                  <c:v>-8.0882912983208044</c:v>
                </c:pt>
                <c:pt idx="216">
                  <c:v>-8.4609505920483219</c:v>
                </c:pt>
                <c:pt idx="217">
                  <c:v>3.2988355098579669</c:v>
                </c:pt>
                <c:pt idx="218">
                  <c:v>3.0039972150949668</c:v>
                </c:pt>
                <c:pt idx="219">
                  <c:v>-4.414666080552843</c:v>
                </c:pt>
                <c:pt idx="220">
                  <c:v>2.7536899821583249</c:v>
                </c:pt>
                <c:pt idx="221">
                  <c:v>-3.4163042044970005</c:v>
                </c:pt>
                <c:pt idx="222">
                  <c:v>3.0288051900165813</c:v>
                </c:pt>
                <c:pt idx="223">
                  <c:v>-1.7871893432173436</c:v>
                </c:pt>
                <c:pt idx="224">
                  <c:v>-3.7921725933418138</c:v>
                </c:pt>
                <c:pt idx="225">
                  <c:v>-0.47877110298544245</c:v>
                </c:pt>
                <c:pt idx="226">
                  <c:v>0.81135652268722325</c:v>
                </c:pt>
                <c:pt idx="227">
                  <c:v>-0.51597460225469849</c:v>
                </c:pt>
                <c:pt idx="228">
                  <c:v>-1.0536086069146577</c:v>
                </c:pt>
                <c:pt idx="229">
                  <c:v>-0.41150258562517861</c:v>
                </c:pt>
                <c:pt idx="230">
                  <c:v>3.1233769815786516</c:v>
                </c:pt>
                <c:pt idx="231">
                  <c:v>5.7796963249750588</c:v>
                </c:pt>
                <c:pt idx="232">
                  <c:v>-2.4019594279340639</c:v>
                </c:pt>
                <c:pt idx="233">
                  <c:v>-1.2227157056448945</c:v>
                </c:pt>
                <c:pt idx="234">
                  <c:v>1.8109028286387163</c:v>
                </c:pt>
                <c:pt idx="235">
                  <c:v>-3.1953664755797861</c:v>
                </c:pt>
                <c:pt idx="236">
                  <c:v>0.83500115986330226</c:v>
                </c:pt>
                <c:pt idx="237">
                  <c:v>1.3299180776837893</c:v>
                </c:pt>
                <c:pt idx="238">
                  <c:v>1.8659899594683393</c:v>
                </c:pt>
                <c:pt idx="239">
                  <c:v>0.53113379940605832</c:v>
                </c:pt>
              </c:numCache>
            </c:numRef>
          </c:yVal>
          <c:smooth val="0"/>
          <c:extLst>
            <c:ext xmlns:c16="http://schemas.microsoft.com/office/drawing/2014/chart" uri="{C3380CC4-5D6E-409C-BE32-E72D297353CC}">
              <c16:uniqueId val="{00000000-2BA7-4002-A17D-67DABC86821B}"/>
            </c:ext>
          </c:extLst>
        </c:ser>
        <c:ser>
          <c:idx val="1"/>
          <c:order val="1"/>
          <c:spPr>
            <a:ln w="25400" cap="rnd">
              <a:solidFill>
                <a:srgbClr val="FF0000"/>
              </a:solidFill>
              <a:prstDash val="dash"/>
              <a:round/>
            </a:ln>
            <a:effectLst/>
          </c:spPr>
          <c:marker>
            <c:symbol val="none"/>
          </c:marker>
          <c:dPt>
            <c:idx val="1"/>
            <c:marker>
              <c:symbol val="none"/>
            </c:marker>
            <c:bubble3D val="0"/>
            <c:spPr>
              <a:ln w="25400" cap="rnd">
                <a:solidFill>
                  <a:srgbClr val="9A221D"/>
                </a:solidFill>
                <a:prstDash val="dash"/>
                <a:round/>
              </a:ln>
              <a:effectLst/>
            </c:spPr>
            <c:extLst>
              <c:ext xmlns:c16="http://schemas.microsoft.com/office/drawing/2014/chart" uri="{C3380CC4-5D6E-409C-BE32-E72D297353CC}">
                <c16:uniqueId val="{00000002-2BA7-4002-A17D-67DABC86821B}"/>
              </c:ext>
            </c:extLst>
          </c:dPt>
          <c:xVal>
            <c:numRef>
              <c:f>'4'!$I$18:$I$19</c:f>
              <c:numCache>
                <c:formatCode>0</c:formatCode>
                <c:ptCount val="2"/>
                <c:pt idx="0" formatCode="General">
                  <c:v>-6</c:v>
                </c:pt>
                <c:pt idx="1">
                  <c:v>6</c:v>
                </c:pt>
              </c:numCache>
            </c:numRef>
          </c:xVal>
          <c:yVal>
            <c:numRef>
              <c:f>'4'!$J$18:$J$19</c:f>
              <c:numCache>
                <c:formatCode>0</c:formatCode>
                <c:ptCount val="2"/>
                <c:pt idx="0" formatCode="General">
                  <c:v>-6</c:v>
                </c:pt>
                <c:pt idx="1">
                  <c:v>6</c:v>
                </c:pt>
              </c:numCache>
            </c:numRef>
          </c:yVal>
          <c:smooth val="0"/>
          <c:extLst>
            <c:ext xmlns:c16="http://schemas.microsoft.com/office/drawing/2014/chart" uri="{C3380CC4-5D6E-409C-BE32-E72D297353CC}">
              <c16:uniqueId val="{00000003-2BA7-4002-A17D-67DABC86821B}"/>
            </c:ext>
          </c:extLst>
        </c:ser>
        <c:ser>
          <c:idx val="3"/>
          <c:order val="2"/>
          <c:spPr>
            <a:ln w="25400" cap="rnd">
              <a:solidFill>
                <a:srgbClr val="FFC000"/>
              </a:solidFill>
              <a:prstDash val="dash"/>
              <a:round/>
            </a:ln>
            <a:effectLst/>
          </c:spPr>
          <c:marker>
            <c:symbol val="none"/>
          </c:marker>
          <c:dPt>
            <c:idx val="1"/>
            <c:marker>
              <c:symbol val="none"/>
            </c:marker>
            <c:bubble3D val="0"/>
            <c:spPr>
              <a:ln w="25400" cap="rnd">
                <a:solidFill>
                  <a:srgbClr val="E6BE8A"/>
                </a:solidFill>
                <a:prstDash val="dash"/>
                <a:round/>
              </a:ln>
              <a:effectLst/>
            </c:spPr>
            <c:extLst>
              <c:ext xmlns:c16="http://schemas.microsoft.com/office/drawing/2014/chart" uri="{C3380CC4-5D6E-409C-BE32-E72D297353CC}">
                <c16:uniqueId val="{00000005-2BA7-4002-A17D-67DABC86821B}"/>
              </c:ext>
            </c:extLst>
          </c:dPt>
          <c:xVal>
            <c:numRef>
              <c:f>'4'!$I$18:$I$19</c:f>
              <c:numCache>
                <c:formatCode>0</c:formatCode>
                <c:ptCount val="2"/>
                <c:pt idx="0" formatCode="General">
                  <c:v>-6</c:v>
                </c:pt>
                <c:pt idx="1">
                  <c:v>6</c:v>
                </c:pt>
              </c:numCache>
            </c:numRef>
          </c:xVal>
          <c:yVal>
            <c:numRef>
              <c:f>'4'!$L$18:$L$19</c:f>
              <c:numCache>
                <c:formatCode>0.000</c:formatCode>
                <c:ptCount val="2"/>
                <c:pt idx="0">
                  <c:v>-8.3044308442101702</c:v>
                </c:pt>
                <c:pt idx="1">
                  <c:v>3.6955691557898298</c:v>
                </c:pt>
              </c:numCache>
            </c:numRef>
          </c:yVal>
          <c:smooth val="0"/>
          <c:extLst>
            <c:ext xmlns:c16="http://schemas.microsoft.com/office/drawing/2014/chart" uri="{C3380CC4-5D6E-409C-BE32-E72D297353CC}">
              <c16:uniqueId val="{00000006-2BA7-4002-A17D-67DABC86821B}"/>
            </c:ext>
          </c:extLst>
        </c:ser>
        <c:ser>
          <c:idx val="2"/>
          <c:order val="3"/>
          <c:spPr>
            <a:ln w="25400" cap="rnd">
              <a:noFill/>
              <a:round/>
            </a:ln>
            <a:effectLst/>
          </c:spPr>
          <c:marker>
            <c:symbol val="circle"/>
            <c:size val="5"/>
            <c:spPr>
              <a:solidFill>
                <a:schemeClr val="accent3"/>
              </a:solidFill>
              <a:ln w="9525">
                <a:solidFill>
                  <a:schemeClr val="accent3"/>
                </a:solidFill>
              </a:ln>
              <a:effectLst/>
            </c:spPr>
          </c:marker>
          <c:dPt>
            <c:idx val="1"/>
            <c:marker>
              <c:symbol val="none"/>
            </c:marker>
            <c:bubble3D val="0"/>
            <c:spPr>
              <a:ln w="25400" cap="rnd">
                <a:solidFill>
                  <a:schemeClr val="bg1">
                    <a:lumMod val="65000"/>
                  </a:schemeClr>
                </a:solidFill>
                <a:prstDash val="dash"/>
                <a:round/>
              </a:ln>
              <a:effectLst/>
            </c:spPr>
            <c:extLst>
              <c:ext xmlns:c16="http://schemas.microsoft.com/office/drawing/2014/chart" uri="{C3380CC4-5D6E-409C-BE32-E72D297353CC}">
                <c16:uniqueId val="{00000008-2BA7-4002-A17D-67DABC86821B}"/>
              </c:ext>
            </c:extLst>
          </c:dPt>
          <c:xVal>
            <c:numRef>
              <c:f>'4'!$I$18:$I$19</c:f>
              <c:numCache>
                <c:formatCode>0</c:formatCode>
                <c:ptCount val="2"/>
                <c:pt idx="0" formatCode="General">
                  <c:v>-6</c:v>
                </c:pt>
                <c:pt idx="1">
                  <c:v>6</c:v>
                </c:pt>
              </c:numCache>
            </c:numRef>
          </c:xVal>
          <c:yVal>
            <c:numRef>
              <c:f>'4'!$M$18:$M$19</c:f>
              <c:numCache>
                <c:formatCode>0.000</c:formatCode>
                <c:ptCount val="2"/>
                <c:pt idx="0">
                  <c:v>-8.8304873590879751</c:v>
                </c:pt>
                <c:pt idx="1">
                  <c:v>3.1695126409120249</c:v>
                </c:pt>
              </c:numCache>
            </c:numRef>
          </c:yVal>
          <c:smooth val="0"/>
          <c:extLst>
            <c:ext xmlns:c16="http://schemas.microsoft.com/office/drawing/2014/chart" uri="{C3380CC4-5D6E-409C-BE32-E72D297353CC}">
              <c16:uniqueId val="{00000009-2BA7-4002-A17D-67DABC86821B}"/>
            </c:ext>
          </c:extLst>
        </c:ser>
        <c:dLbls>
          <c:showLegendKey val="0"/>
          <c:showVal val="0"/>
          <c:showCatName val="0"/>
          <c:showSerName val="0"/>
          <c:showPercent val="0"/>
          <c:showBubbleSize val="0"/>
        </c:dLbls>
        <c:axId val="702438864"/>
        <c:axId val="702436896"/>
      </c:scatterChart>
      <c:valAx>
        <c:axId val="702438864"/>
        <c:scaling>
          <c:orientation val="minMax"/>
          <c:max val="6"/>
          <c:min val="-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Benchmark</a:t>
                </a:r>
              </a:p>
            </c:rich>
          </c:tx>
          <c:layout>
            <c:manualLayout>
              <c:xMode val="edge"/>
              <c:yMode val="edge"/>
              <c:x val="0.83731137774444875"/>
              <c:y val="0.5384222644226601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6896"/>
        <c:crosses val="autoZero"/>
        <c:crossBetween val="midCat"/>
      </c:valAx>
      <c:valAx>
        <c:axId val="702436896"/>
        <c:scaling>
          <c:orientation val="minMax"/>
          <c:max val="6"/>
          <c:min val="-6"/>
        </c:scaling>
        <c:delete val="0"/>
        <c:axPos val="l"/>
        <c:majorGridlines>
          <c:spPr>
            <a:ln w="9525" cap="flat" cmpd="sng" algn="ctr">
              <a:solidFill>
                <a:schemeClr val="tx1">
                  <a:lumMod val="15000"/>
                  <a:lumOff val="85000"/>
                </a:schemeClr>
              </a:solidFill>
              <a:round/>
            </a:ln>
            <a:effectLst/>
          </c:spPr>
        </c:majorGridlines>
        <c:title>
          <c:tx>
            <c:rich>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a:t>Portfolio</a:t>
                </a:r>
              </a:p>
            </c:rich>
          </c:tx>
          <c:layout>
            <c:manualLayout>
              <c:xMode val="edge"/>
              <c:yMode val="edge"/>
              <c:x val="0.38624338624338622"/>
              <c:y val="4.5900933335541863E-2"/>
            </c:manualLayout>
          </c:layout>
          <c:overlay val="0"/>
          <c:spPr>
            <a:noFill/>
            <a:ln>
              <a:noFill/>
            </a:ln>
            <a:effectLst/>
          </c:spPr>
          <c:txPr>
            <a:bodyPr rot="0" spcFirstLastPara="1" vertOverflow="ellipsis"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02438864"/>
        <c:crosses val="autoZero"/>
        <c:crossBetween val="midCat"/>
      </c:valAx>
      <c:spPr>
        <a:solidFill>
          <a:srgbClr val="ECE9E7"/>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ECE9E7"/>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chart" Target="../charts/chart1.xml"/><Relationship Id="rId4" Type="http://schemas.openxmlformats.org/officeDocument/2006/relationships/image" Target="../media/image3.png"/></Relationships>
</file>

<file path=xl/drawings/_rels/drawing3.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4.png"/><Relationship Id="rId1" Type="http://schemas.openxmlformats.org/officeDocument/2006/relationships/chart" Target="../charts/chart2.xml"/><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image" Target="../media/image6.png"/><Relationship Id="rId5" Type="http://schemas.openxmlformats.org/officeDocument/2006/relationships/image" Target="../media/image2.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chart" Target="../charts/chart6.xml"/><Relationship Id="rId4"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0</xdr:col>
      <xdr:colOff>234950</xdr:colOff>
      <xdr:row>0</xdr:row>
      <xdr:rowOff>149225</xdr:rowOff>
    </xdr:from>
    <xdr:to>
      <xdr:col>10</xdr:col>
      <xdr:colOff>438150</xdr:colOff>
      <xdr:row>10</xdr:row>
      <xdr:rowOff>82550</xdr:rowOff>
    </xdr:to>
    <xdr:sp macro="" textlink="">
      <xdr:nvSpPr>
        <xdr:cNvPr id="2" name="TextBox 1">
          <a:extLst>
            <a:ext uri="{FF2B5EF4-FFF2-40B4-BE49-F238E27FC236}">
              <a16:creationId xmlns:a16="http://schemas.microsoft.com/office/drawing/2014/main" id="{88D0C2A3-B3E6-4166-AA2A-2C6D335270E4}"/>
            </a:ext>
          </a:extLst>
        </xdr:cNvPr>
        <xdr:cNvSpPr txBox="1"/>
      </xdr:nvSpPr>
      <xdr:spPr>
        <a:xfrm>
          <a:off x="234950" y="149225"/>
          <a:ext cx="6013450" cy="18383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Disclaimer:</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This information does not constitute accounting, tax, legal, investment, consulting or other professional advice or services. CAIM accepts no liability for the impact of any decision made based on the information provided in this document.</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 </a:t>
          </a:r>
          <a:endParaRPr lang="en-GB" sz="1100">
            <a:solidFill>
              <a:schemeClr val="dk1"/>
            </a:solidFill>
            <a:effectLst/>
            <a:latin typeface="+mn-lt"/>
            <a:ea typeface="+mn-ea"/>
            <a:cs typeface="+mn-cs"/>
          </a:endParaRPr>
        </a:p>
        <a:p>
          <a:r>
            <a:rPr lang="en-US" sz="1100">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endParaRPr lang="en-GB" sz="1100"/>
        </a:p>
      </xdr:txBody>
    </xdr:sp>
    <xdr:clientData/>
  </xdr:twoCellAnchor>
  <xdr:twoCellAnchor>
    <xdr:from>
      <xdr:col>0</xdr:col>
      <xdr:colOff>244475</xdr:colOff>
      <xdr:row>11</xdr:row>
      <xdr:rowOff>28575</xdr:rowOff>
    </xdr:from>
    <xdr:to>
      <xdr:col>10</xdr:col>
      <xdr:colOff>415925</xdr:colOff>
      <xdr:row>24</xdr:row>
      <xdr:rowOff>104775</xdr:rowOff>
    </xdr:to>
    <xdr:sp macro="" textlink="">
      <xdr:nvSpPr>
        <xdr:cNvPr id="3" name="TextBox 2">
          <a:extLst>
            <a:ext uri="{FF2B5EF4-FFF2-40B4-BE49-F238E27FC236}">
              <a16:creationId xmlns:a16="http://schemas.microsoft.com/office/drawing/2014/main" id="{E8DD4E5A-2DEB-4B69-9999-1DFA6D7E43B0}"/>
            </a:ext>
          </a:extLst>
        </xdr:cNvPr>
        <xdr:cNvSpPr txBox="1"/>
      </xdr:nvSpPr>
      <xdr:spPr>
        <a:xfrm>
          <a:off x="244475" y="2124075"/>
          <a:ext cx="5981700" cy="2552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Instructions:</a:t>
          </a:r>
        </a:p>
        <a:p>
          <a:endParaRPr lang="en-GB" sz="1100"/>
        </a:p>
        <a:p>
          <a:r>
            <a:rPr lang="en-GB" sz="1100"/>
            <a:t>In order</a:t>
          </a:r>
          <a:r>
            <a:rPr lang="en-GB" sz="1100" baseline="0"/>
            <a:t> for the spreadsheet to reflect current rates, you first need to </a:t>
          </a:r>
          <a:r>
            <a:rPr lang="en-GB" sz="1100"/>
            <a:t>update the gold</a:t>
          </a:r>
          <a:r>
            <a:rPr lang="en-GB" sz="1100" baseline="0"/>
            <a:t> boxes on the worksheet 'Background info' - the FX and deposit rates - for the spreadsheet to work.</a:t>
          </a:r>
        </a:p>
        <a:p>
          <a:endParaRPr lang="en-GB" sz="1100" baseline="0"/>
        </a:p>
        <a:p>
          <a:r>
            <a:rPr lang="en-GB" sz="1100" baseline="0"/>
            <a:t>Should you wish to amend the 'other currency' option (to another currency), amend this is cell F1 of the 'Background info' page and update the gold boxes accordingly).</a:t>
          </a:r>
        </a:p>
        <a:p>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220617</xdr:colOff>
      <xdr:row>8</xdr:row>
      <xdr:rowOff>116112</xdr:rowOff>
    </xdr:from>
    <xdr:to>
      <xdr:col>14</xdr:col>
      <xdr:colOff>447947</xdr:colOff>
      <xdr:row>27</xdr:row>
      <xdr:rowOff>16328</xdr:rowOff>
    </xdr:to>
    <xdr:graphicFrame macro="">
      <xdr:nvGraphicFramePr>
        <xdr:cNvPr id="2" name="Chart 1">
          <a:extLst>
            <a:ext uri="{FF2B5EF4-FFF2-40B4-BE49-F238E27FC236}">
              <a16:creationId xmlns:a16="http://schemas.microsoft.com/office/drawing/2014/main" id="{7AACDA51-68A5-47AA-8D1B-6732AAB518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228600</xdr:colOff>
      <xdr:row>1</xdr:row>
      <xdr:rowOff>152400</xdr:rowOff>
    </xdr:from>
    <xdr:to>
      <xdr:col>14</xdr:col>
      <xdr:colOff>473132</xdr:colOff>
      <xdr:row>4</xdr:row>
      <xdr:rowOff>136680</xdr:rowOff>
    </xdr:to>
    <xdr:pic>
      <xdr:nvPicPr>
        <xdr:cNvPr id="3" name="Picture 2">
          <a:extLst>
            <a:ext uri="{FF2B5EF4-FFF2-40B4-BE49-F238E27FC236}">
              <a16:creationId xmlns:a16="http://schemas.microsoft.com/office/drawing/2014/main" id="{76909D57-7A59-481B-8B7C-F9E28F2C1ED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267450" y="485775"/>
          <a:ext cx="2565457" cy="555780"/>
        </a:xfrm>
        <a:prstGeom prst="rect">
          <a:avLst/>
        </a:prstGeom>
      </xdr:spPr>
    </xdr:pic>
    <xdr:clientData/>
  </xdr:twoCellAnchor>
  <xdr:twoCellAnchor editAs="oneCell">
    <xdr:from>
      <xdr:col>15</xdr:col>
      <xdr:colOff>57150</xdr:colOff>
      <xdr:row>1</xdr:row>
      <xdr:rowOff>114300</xdr:rowOff>
    </xdr:from>
    <xdr:to>
      <xdr:col>16</xdr:col>
      <xdr:colOff>18948</xdr:colOff>
      <xdr:row>4</xdr:row>
      <xdr:rowOff>53975</xdr:rowOff>
    </xdr:to>
    <xdr:pic macro="[0]!ShowHideSlide">
      <xdr:nvPicPr>
        <xdr:cNvPr id="4" name="Picture 3">
          <a:extLst>
            <a:ext uri="{FF2B5EF4-FFF2-40B4-BE49-F238E27FC236}">
              <a16:creationId xmlns:a16="http://schemas.microsoft.com/office/drawing/2014/main" id="{A550EE38-6E86-432B-B7E3-791C52F2F01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001125" y="447675"/>
          <a:ext cx="542823" cy="504825"/>
        </a:xfrm>
        <a:prstGeom prst="rect">
          <a:avLst/>
        </a:prstGeom>
      </xdr:spPr>
    </xdr:pic>
    <xdr:clientData/>
  </xdr:twoCellAnchor>
  <xdr:twoCellAnchor editAs="oneCell">
    <xdr:from>
      <xdr:col>0</xdr:col>
      <xdr:colOff>9525</xdr:colOff>
      <xdr:row>1</xdr:row>
      <xdr:rowOff>64498</xdr:rowOff>
    </xdr:from>
    <xdr:to>
      <xdr:col>14</xdr:col>
      <xdr:colOff>402360</xdr:colOff>
      <xdr:row>33</xdr:row>
      <xdr:rowOff>88498</xdr:rowOff>
    </xdr:to>
    <xdr:pic>
      <xdr:nvPicPr>
        <xdr:cNvPr id="5" name="Slide1" hidden="1">
          <a:extLst>
            <a:ext uri="{FF2B5EF4-FFF2-40B4-BE49-F238E27FC236}">
              <a16:creationId xmlns:a16="http://schemas.microsoft.com/office/drawing/2014/main" id="{9E1A26AD-B5D7-41F9-AA7F-07227BA94488}"/>
            </a:ext>
          </a:extLst>
        </xdr:cNvPr>
        <xdr:cNvPicPr>
          <a:picLocks noChangeAspect="1"/>
        </xdr:cNvPicPr>
      </xdr:nvPicPr>
      <xdr:blipFill>
        <a:blip xmlns:r="http://schemas.openxmlformats.org/officeDocument/2006/relationships" r:embed="rId4"/>
        <a:stretch>
          <a:fillRect/>
        </a:stretch>
      </xdr:blipFill>
      <xdr:spPr>
        <a:xfrm>
          <a:off x="9525" y="397873"/>
          <a:ext cx="8927235" cy="612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125131</xdr:colOff>
      <xdr:row>11</xdr:row>
      <xdr:rowOff>51919</xdr:rowOff>
    </xdr:from>
    <xdr:to>
      <xdr:col>15</xdr:col>
      <xdr:colOff>421154</xdr:colOff>
      <xdr:row>27</xdr:row>
      <xdr:rowOff>64619</xdr:rowOff>
    </xdr:to>
    <xdr:graphicFrame macro="">
      <xdr:nvGraphicFramePr>
        <xdr:cNvPr id="2" name="Chart 1">
          <a:extLst>
            <a:ext uri="{FF2B5EF4-FFF2-40B4-BE49-F238E27FC236}">
              <a16:creationId xmlns:a16="http://schemas.microsoft.com/office/drawing/2014/main" id="{4F86B5FC-79CB-4669-A78A-541C3786EC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7845</xdr:colOff>
      <xdr:row>1</xdr:row>
      <xdr:rowOff>152027</xdr:rowOff>
    </xdr:from>
    <xdr:to>
      <xdr:col>13</xdr:col>
      <xdr:colOff>518518</xdr:colOff>
      <xdr:row>5</xdr:row>
      <xdr:rowOff>139925</xdr:rowOff>
    </xdr:to>
    <xdr:pic>
      <xdr:nvPicPr>
        <xdr:cNvPr id="4" name="Picture 3">
          <a:extLst>
            <a:ext uri="{FF2B5EF4-FFF2-40B4-BE49-F238E27FC236}">
              <a16:creationId xmlns:a16="http://schemas.microsoft.com/office/drawing/2014/main" id="{F8BE8EA4-A086-4EDB-9F05-E805ED81BD1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503770" y="485402"/>
          <a:ext cx="3415798" cy="749898"/>
        </a:xfrm>
        <a:prstGeom prst="rect">
          <a:avLst/>
        </a:prstGeom>
      </xdr:spPr>
    </xdr:pic>
    <xdr:clientData/>
  </xdr:twoCellAnchor>
  <xdr:twoCellAnchor editAs="oneCell">
    <xdr:from>
      <xdr:col>14</xdr:col>
      <xdr:colOff>268568</xdr:colOff>
      <xdr:row>1</xdr:row>
      <xdr:rowOff>184149</xdr:rowOff>
    </xdr:from>
    <xdr:to>
      <xdr:col>15</xdr:col>
      <xdr:colOff>244560</xdr:colOff>
      <xdr:row>4</xdr:row>
      <xdr:rowOff>129054</xdr:rowOff>
    </xdr:to>
    <xdr:pic macro="[0]!ShowHideSlide">
      <xdr:nvPicPr>
        <xdr:cNvPr id="5" name="Picture 4">
          <a:extLst>
            <a:ext uri="{FF2B5EF4-FFF2-40B4-BE49-F238E27FC236}">
              <a16:creationId xmlns:a16="http://schemas.microsoft.com/office/drawing/2014/main" id="{D16B4835-E5F7-4A3A-8166-C05D9BAB5C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9250643" y="517524"/>
          <a:ext cx="557017" cy="516405"/>
        </a:xfrm>
        <a:prstGeom prst="rect">
          <a:avLst/>
        </a:prstGeom>
      </xdr:spPr>
    </xdr:pic>
    <xdr:clientData/>
  </xdr:twoCellAnchor>
  <xdr:twoCellAnchor editAs="oneCell">
    <xdr:from>
      <xdr:col>0</xdr:col>
      <xdr:colOff>52293</xdr:colOff>
      <xdr:row>1</xdr:row>
      <xdr:rowOff>32870</xdr:rowOff>
    </xdr:from>
    <xdr:to>
      <xdr:col>14</xdr:col>
      <xdr:colOff>64676</xdr:colOff>
      <xdr:row>33</xdr:row>
      <xdr:rowOff>56870</xdr:rowOff>
    </xdr:to>
    <xdr:pic>
      <xdr:nvPicPr>
        <xdr:cNvPr id="6" name="Slide1" hidden="1">
          <a:extLst>
            <a:ext uri="{FF2B5EF4-FFF2-40B4-BE49-F238E27FC236}">
              <a16:creationId xmlns:a16="http://schemas.microsoft.com/office/drawing/2014/main" id="{6E841939-5753-4F62-BC08-1683872B3229}"/>
            </a:ext>
          </a:extLst>
        </xdr:cNvPr>
        <xdr:cNvPicPr>
          <a:picLocks noChangeAspect="1"/>
        </xdr:cNvPicPr>
      </xdr:nvPicPr>
      <xdr:blipFill>
        <a:blip xmlns:r="http://schemas.openxmlformats.org/officeDocument/2006/relationships" r:embed="rId4"/>
        <a:stretch>
          <a:fillRect/>
        </a:stretch>
      </xdr:blipFill>
      <xdr:spPr>
        <a:xfrm>
          <a:off x="52293" y="366245"/>
          <a:ext cx="8994458" cy="6120000"/>
        </a:xfrm>
        <a:prstGeom prst="rect">
          <a:avLst/>
        </a:prstGeom>
      </xdr:spPr>
    </xdr:pic>
    <xdr:clientData/>
  </xdr:twoCellAnchor>
  <xdr:twoCellAnchor>
    <xdr:from>
      <xdr:col>5</xdr:col>
      <xdr:colOff>352425</xdr:colOff>
      <xdr:row>6</xdr:row>
      <xdr:rowOff>152400</xdr:rowOff>
    </xdr:from>
    <xdr:to>
      <xdr:col>9</xdr:col>
      <xdr:colOff>47625</xdr:colOff>
      <xdr:row>15</xdr:row>
      <xdr:rowOff>0</xdr:rowOff>
    </xdr:to>
    <mc:AlternateContent xmlns:mc="http://schemas.openxmlformats.org/markup-compatibility/2006" xmlns:a14="http://schemas.microsoft.com/office/drawing/2010/main">
      <mc:Choice Requires="a14">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14:m>
                <m:oMath xmlns:m="http://schemas.openxmlformats.org/officeDocument/2006/math">
                  <m:r>
                    <a:rPr lang="en-GB" sz="1100" b="0" i="1">
                      <a:solidFill>
                        <a:schemeClr val="dk1"/>
                      </a:solidFill>
                      <a:effectLst/>
                      <a:latin typeface="Cambria Math" panose="02040503050406030204" pitchFamily="18" charset="0"/>
                      <a:ea typeface="+mn-ea"/>
                      <a:cs typeface="+mn-cs"/>
                    </a:rPr>
                    <m:t>   </m:t>
                  </m:r>
                  <m:sSubSup>
                    <m:sSubSupPr>
                      <m:ctrlPr>
                        <a:rPr lang="en-GB" sz="1100" i="1">
                          <a:solidFill>
                            <a:schemeClr val="dk1"/>
                          </a:solidFill>
                          <a:effectLst/>
                          <a:latin typeface="Cambria Math" panose="02040503050406030204" pitchFamily="18" charset="0"/>
                          <a:ea typeface="+mn-ea"/>
                          <a:cs typeface="+mn-cs"/>
                        </a:rPr>
                      </m:ctrlPr>
                    </m:sSubSup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𝑥𝑦</m:t>
                      </m:r>
                    </m:sub>
                    <m:sup>
                      <m:r>
                        <a:rPr lang="en-GB" sz="1100" i="1">
                          <a:solidFill>
                            <a:schemeClr val="dk1"/>
                          </a:solidFill>
                          <a:effectLst/>
                          <a:latin typeface="Cambria Math" panose="02040503050406030204" pitchFamily="18" charset="0"/>
                          <a:ea typeface="+mn-ea"/>
                          <a:cs typeface="+mn-cs"/>
                        </a:rPr>
                        <m:t>2</m:t>
                      </m:r>
                    </m:sup>
                  </m:sSubSup>
                  <m:r>
                    <a:rPr lang="en-GB" sz="1100" i="1">
                      <a:solidFill>
                        <a:schemeClr val="dk1"/>
                      </a:solidFill>
                      <a:effectLst/>
                      <a:latin typeface="Cambria Math" panose="02040503050406030204" pitchFamily="18" charset="0"/>
                      <a:ea typeface="+mn-ea"/>
                      <a:cs typeface="+mn-cs"/>
                    </a:rPr>
                    <m:t>= </m:t>
                  </m:r>
                  <m:r>
                    <a:rPr lang="en-GB" sz="1100" i="1">
                      <a:solidFill>
                        <a:schemeClr val="dk1"/>
                      </a:solidFill>
                      <a:effectLst/>
                      <a:latin typeface="Cambria Math" panose="02040503050406030204" pitchFamily="18" charset="0"/>
                      <a:ea typeface="+mn-ea"/>
                      <a:cs typeface="+mn-cs"/>
                    </a:rPr>
                    <m:t>𝜌</m:t>
                  </m:r>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𝑥</m:t>
                      </m:r>
                    </m:sub>
                  </m:sSub>
                  <m:sSub>
                    <m:sSubPr>
                      <m:ctrlPr>
                        <a:rPr lang="en-GB" sz="1100" i="1">
                          <a:solidFill>
                            <a:schemeClr val="dk1"/>
                          </a:solidFill>
                          <a:effectLst/>
                          <a:latin typeface="Cambria Math" panose="02040503050406030204" pitchFamily="18" charset="0"/>
                          <a:ea typeface="+mn-ea"/>
                          <a:cs typeface="+mn-cs"/>
                        </a:rPr>
                      </m:ctrlPr>
                    </m:sSubPr>
                    <m:e>
                      <m:r>
                        <a:rPr lang="en-GB" sz="1100" i="1">
                          <a:solidFill>
                            <a:schemeClr val="dk1"/>
                          </a:solidFill>
                          <a:effectLst/>
                          <a:latin typeface="Cambria Math" panose="02040503050406030204" pitchFamily="18" charset="0"/>
                          <a:ea typeface="+mn-ea"/>
                          <a:cs typeface="+mn-cs"/>
                        </a:rPr>
                        <m:t>𝜎</m:t>
                      </m:r>
                    </m:e>
                    <m:sub>
                      <m:r>
                        <a:rPr lang="en-GB" sz="1100" i="1">
                          <a:solidFill>
                            <a:schemeClr val="dk1"/>
                          </a:solidFill>
                          <a:effectLst/>
                          <a:latin typeface="Cambria Math" panose="02040503050406030204" pitchFamily="18" charset="0"/>
                          <a:ea typeface="+mn-ea"/>
                          <a:cs typeface="+mn-cs"/>
                        </a:rPr>
                        <m:t>𝑦</m:t>
                      </m:r>
                    </m:sub>
                  </m:sSub>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14:m>
                <m:oMath xmlns:m="http://schemas.openxmlformats.org/officeDocument/2006/math">
                  <m:r>
                    <m:rPr>
                      <m:sty m:val="p"/>
                    </m:rPr>
                    <a:rPr lang="en-GB" sz="1100" i="1">
                      <a:solidFill>
                        <a:schemeClr val="dk1"/>
                      </a:solidFill>
                      <a:effectLst/>
                      <a:latin typeface="Cambria Math" panose="02040503050406030204" pitchFamily="18" charset="0"/>
                      <a:ea typeface="+mn-ea"/>
                      <a:cs typeface="+mn-cs"/>
                    </a:rPr>
                    <m:t>Σ</m:t>
                  </m:r>
                </m:oMath>
              </a14:m>
              <a:r>
                <a:rPr lang="en-GB" sz="1100" i="1">
                  <a:solidFill>
                    <a:schemeClr val="dk1"/>
                  </a:solidFill>
                  <a:effectLst/>
                  <a:latin typeface="+mn-lt"/>
                  <a:ea typeface="+mn-ea"/>
                  <a:cs typeface="+mn-cs"/>
                </a:rPr>
                <a:t>, the risk of the portfolio is calculated using: </a:t>
              </a:r>
              <a14:m>
                <m:oMath xmlns:m="http://schemas.openxmlformats.org/officeDocument/2006/math">
                  <m:r>
                    <a:rPr lang="en-GB" sz="1100" i="1">
                      <a:solidFill>
                        <a:schemeClr val="dk1"/>
                      </a:solidFill>
                      <a:effectLst/>
                      <a:latin typeface="Cambria Math" panose="02040503050406030204" pitchFamily="18" charset="0"/>
                      <a:ea typeface="+mn-ea"/>
                      <a:cs typeface="+mn-cs"/>
                    </a:rPr>
                    <m:t>𝜎</m:t>
                  </m:r>
                  <m:r>
                    <a:rPr lang="en-GB" sz="1100" i="1">
                      <a:solidFill>
                        <a:schemeClr val="dk1"/>
                      </a:solidFill>
                      <a:effectLst/>
                      <a:latin typeface="Cambria Math" panose="02040503050406030204" pitchFamily="18" charset="0"/>
                      <a:ea typeface="+mn-ea"/>
                      <a:cs typeface="+mn-cs"/>
                    </a:rPr>
                    <m:t>= </m:t>
                  </m:r>
                  <m:rad>
                    <m:radPr>
                      <m:degHide m:val="on"/>
                      <m:ctrlPr>
                        <a:rPr lang="en-GB" sz="1100" i="1">
                          <a:solidFill>
                            <a:schemeClr val="dk1"/>
                          </a:solidFill>
                          <a:effectLst/>
                          <a:latin typeface="Cambria Math" panose="02040503050406030204" pitchFamily="18" charset="0"/>
                          <a:ea typeface="+mn-ea"/>
                          <a:cs typeface="+mn-cs"/>
                        </a:rPr>
                      </m:ctrlPr>
                    </m:radPr>
                    <m:deg/>
                    <m:e>
                      <m:r>
                        <a:rPr lang="en-GB" sz="1100" i="1">
                          <a:solidFill>
                            <a:schemeClr val="dk1"/>
                          </a:solidFill>
                          <a:effectLst/>
                          <a:latin typeface="Cambria Math" panose="02040503050406030204" pitchFamily="18" charset="0"/>
                          <a:ea typeface="+mn-ea"/>
                          <a:cs typeface="+mn-cs"/>
                        </a:rPr>
                        <m:t>𝑤</m:t>
                      </m:r>
                      <m:r>
                        <m:rPr>
                          <m:sty m:val="p"/>
                        </m:rPr>
                        <a:rPr lang="en-GB" sz="1100">
                          <a:solidFill>
                            <a:schemeClr val="dk1"/>
                          </a:solidFill>
                          <a:effectLst/>
                          <a:latin typeface="Cambria Math" panose="02040503050406030204" pitchFamily="18" charset="0"/>
                          <a:ea typeface="+mn-ea"/>
                          <a:cs typeface="+mn-cs"/>
                        </a:rPr>
                        <m:t>Σ</m:t>
                      </m:r>
                      <m:sSup>
                        <m:sSupPr>
                          <m:ctrlPr>
                            <a:rPr lang="en-GB" sz="1100" i="1">
                              <a:solidFill>
                                <a:schemeClr val="dk1"/>
                              </a:solidFill>
                              <a:effectLst/>
                              <a:latin typeface="Cambria Math" panose="02040503050406030204" pitchFamily="18" charset="0"/>
                              <a:ea typeface="+mn-ea"/>
                              <a:cs typeface="+mn-cs"/>
                            </a:rPr>
                          </m:ctrlPr>
                        </m:sSupPr>
                        <m:e>
                          <m:r>
                            <a:rPr lang="en-GB" sz="1100" i="1">
                              <a:solidFill>
                                <a:schemeClr val="dk1"/>
                              </a:solidFill>
                              <a:effectLst/>
                              <a:latin typeface="Cambria Math" panose="02040503050406030204" pitchFamily="18" charset="0"/>
                              <a:ea typeface="+mn-ea"/>
                              <a:cs typeface="+mn-cs"/>
                            </a:rPr>
                            <m:t>𝑤</m:t>
                          </m:r>
                        </m:e>
                        <m:sup>
                          <m:r>
                            <a:rPr lang="en-GB" sz="1100" i="1">
                              <a:solidFill>
                                <a:schemeClr val="dk1"/>
                              </a:solidFill>
                              <a:effectLst/>
                              <a:latin typeface="Cambria Math" panose="02040503050406030204" pitchFamily="18" charset="0"/>
                              <a:ea typeface="+mn-ea"/>
                              <a:cs typeface="+mn-cs"/>
                            </a:rPr>
                            <m:t>𝑇</m:t>
                          </m:r>
                        </m:sup>
                      </m:sSup>
                    </m:e>
                  </m:rad>
                </m:oMath>
              </a14:m>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Choice>
      <mc:Fallback xmlns="">
        <xdr:sp macro="" textlink="">
          <xdr:nvSpPr>
            <xdr:cNvPr id="7" name="TextBox 6">
              <a:extLst>
                <a:ext uri="{FF2B5EF4-FFF2-40B4-BE49-F238E27FC236}">
                  <a16:creationId xmlns:a16="http://schemas.microsoft.com/office/drawing/2014/main" id="{2A734A3E-6E97-4FD5-8346-57E868A4E30F}"/>
                </a:ext>
              </a:extLst>
            </xdr:cNvPr>
            <xdr:cNvSpPr txBox="1"/>
          </xdr:nvSpPr>
          <xdr:spPr>
            <a:xfrm>
              <a:off x="4105275" y="1438275"/>
              <a:ext cx="2019300" cy="1562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The relationship between covariance, correlation and standard deviations</a:t>
              </a:r>
              <a:r>
                <a:rPr lang="en-GB" sz="1100" i="1" baseline="0">
                  <a:solidFill>
                    <a:schemeClr val="dk1"/>
                  </a:solidFill>
                  <a:effectLst/>
                  <a:latin typeface="+mn-lt"/>
                  <a:ea typeface="+mn-ea"/>
                  <a:cs typeface="+mn-cs"/>
                </a:rPr>
                <a:t> is given by:</a:t>
              </a:r>
              <a:r>
                <a:rPr lang="en-GB" sz="1100" b="0" i="0">
                  <a:solidFill>
                    <a:schemeClr val="dk1"/>
                  </a:solidFill>
                  <a:effectLst/>
                  <a:latin typeface="Cambria Math" panose="02040503050406030204" pitchFamily="18" charset="0"/>
                  <a:ea typeface="+mn-ea"/>
                  <a:cs typeface="+mn-cs"/>
                </a:rPr>
                <a:t>   </a:t>
              </a:r>
              <a:r>
                <a:rPr lang="en-GB" sz="1100" i="0">
                  <a:solidFill>
                    <a:schemeClr val="dk1"/>
                  </a:solidFill>
                  <a:effectLst/>
                  <a:latin typeface="+mn-lt"/>
                  <a:ea typeface="+mn-ea"/>
                  <a:cs typeface="+mn-cs"/>
                </a:rPr>
                <a:t>𝜎_𝑥𝑦^2= 𝜌𝜎_𝑥 𝜎_𝑦</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GB" sz="1100" i="1">
                  <a:solidFill>
                    <a:schemeClr val="dk1"/>
                  </a:solidFill>
                  <a:effectLst/>
                  <a:latin typeface="+mn-lt"/>
                  <a:ea typeface="+mn-ea"/>
                  <a:cs typeface="+mn-cs"/>
                </a:rPr>
                <a:t>Using covaiance matrix </a:t>
              </a:r>
              <a:r>
                <a:rPr lang="en-GB" sz="1100" i="0">
                  <a:solidFill>
                    <a:schemeClr val="dk1"/>
                  </a:solidFill>
                  <a:effectLst/>
                  <a:latin typeface="+mn-lt"/>
                  <a:ea typeface="+mn-ea"/>
                  <a:cs typeface="+mn-cs"/>
                </a:rPr>
                <a:t>Σ</a:t>
              </a:r>
              <a:r>
                <a:rPr lang="en-GB" sz="1100" i="1">
                  <a:solidFill>
                    <a:schemeClr val="dk1"/>
                  </a:solidFill>
                  <a:effectLst/>
                  <a:latin typeface="+mn-lt"/>
                  <a:ea typeface="+mn-ea"/>
                  <a:cs typeface="+mn-cs"/>
                </a:rPr>
                <a:t>, the risk of the portfolio is calculated using: </a:t>
              </a:r>
              <a:r>
                <a:rPr lang="en-GB" sz="1100" i="0">
                  <a:solidFill>
                    <a:schemeClr val="dk1"/>
                  </a:solidFill>
                  <a:effectLst/>
                  <a:latin typeface="+mn-lt"/>
                  <a:ea typeface="+mn-ea"/>
                  <a:cs typeface="+mn-cs"/>
                </a:rPr>
                <a:t>𝜎= √(𝑤Σ𝑤^𝑇 )</a:t>
              </a:r>
              <a:endParaRPr lang="en-GB" sz="1100">
                <a:solidFill>
                  <a:schemeClr val="dk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en-GB" sz="1100">
                <a:solidFill>
                  <a:schemeClr val="dk1"/>
                </a:solidFill>
                <a:effectLst/>
                <a:latin typeface="+mn-lt"/>
                <a:ea typeface="+mn-ea"/>
                <a:cs typeface="+mn-cs"/>
              </a:endParaRPr>
            </a:p>
            <a:p>
              <a:endParaRPr lang="en-GB" sz="1100"/>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11</xdr:col>
      <xdr:colOff>17706</xdr:colOff>
      <xdr:row>24</xdr:row>
      <xdr:rowOff>2076</xdr:rowOff>
    </xdr:from>
    <xdr:to>
      <xdr:col>18</xdr:col>
      <xdr:colOff>460007</xdr:colOff>
      <xdr:row>38</xdr:row>
      <xdr:rowOff>73390</xdr:rowOff>
    </xdr:to>
    <xdr:graphicFrame macro="">
      <xdr:nvGraphicFramePr>
        <xdr:cNvPr id="2" name="Chart 1">
          <a:extLst>
            <a:ext uri="{FF2B5EF4-FFF2-40B4-BE49-F238E27FC236}">
              <a16:creationId xmlns:a16="http://schemas.microsoft.com/office/drawing/2014/main" id="{CCC8A9F4-F14F-47D6-9D1A-BCFF4E654F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19051</xdr:colOff>
      <xdr:row>5</xdr:row>
      <xdr:rowOff>1221</xdr:rowOff>
    </xdr:from>
    <xdr:to>
      <xdr:col>18</xdr:col>
      <xdr:colOff>461352</xdr:colOff>
      <xdr:row>19</xdr:row>
      <xdr:rowOff>77422</xdr:rowOff>
    </xdr:to>
    <xdr:graphicFrame macro="">
      <xdr:nvGraphicFramePr>
        <xdr:cNvPr id="3" name="Chart 2">
          <a:extLst>
            <a:ext uri="{FF2B5EF4-FFF2-40B4-BE49-F238E27FC236}">
              <a16:creationId xmlns:a16="http://schemas.microsoft.com/office/drawing/2014/main" id="{26A485B0-5E5E-4298-ACFF-15A12D9C5E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68386</xdr:colOff>
      <xdr:row>43</xdr:row>
      <xdr:rowOff>69849</xdr:rowOff>
    </xdr:from>
    <xdr:to>
      <xdr:col>18</xdr:col>
      <xdr:colOff>510687</xdr:colOff>
      <xdr:row>57</xdr:row>
      <xdr:rowOff>130663</xdr:rowOff>
    </xdr:to>
    <xdr:graphicFrame macro="">
      <xdr:nvGraphicFramePr>
        <xdr:cNvPr id="4" name="Chart 3">
          <a:extLst>
            <a:ext uri="{FF2B5EF4-FFF2-40B4-BE49-F238E27FC236}">
              <a16:creationId xmlns:a16="http://schemas.microsoft.com/office/drawing/2014/main" id="{1520C98A-AA72-4B9B-923B-3D2AA838AD1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117476</xdr:colOff>
      <xdr:row>1</xdr:row>
      <xdr:rowOff>40541</xdr:rowOff>
    </xdr:from>
    <xdr:to>
      <xdr:col>16</xdr:col>
      <xdr:colOff>64938</xdr:colOff>
      <xdr:row>4</xdr:row>
      <xdr:rowOff>76200</xdr:rowOff>
    </xdr:to>
    <xdr:pic>
      <xdr:nvPicPr>
        <xdr:cNvPr id="6" name="Picture 5">
          <a:extLst>
            <a:ext uri="{FF2B5EF4-FFF2-40B4-BE49-F238E27FC236}">
              <a16:creationId xmlns:a16="http://schemas.microsoft.com/office/drawing/2014/main" id="{75BCA1CC-E34D-4CE1-8595-F3BD971D2D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7108826" y="373916"/>
          <a:ext cx="2852587" cy="607159"/>
        </a:xfrm>
        <a:prstGeom prst="rect">
          <a:avLst/>
        </a:prstGeom>
      </xdr:spPr>
    </xdr:pic>
    <xdr:clientData/>
  </xdr:twoCellAnchor>
  <xdr:twoCellAnchor editAs="oneCell">
    <xdr:from>
      <xdr:col>16</xdr:col>
      <xdr:colOff>194408</xdr:colOff>
      <xdr:row>1</xdr:row>
      <xdr:rowOff>127488</xdr:rowOff>
    </xdr:from>
    <xdr:to>
      <xdr:col>17</xdr:col>
      <xdr:colOff>151078</xdr:colOff>
      <xdr:row>4</xdr:row>
      <xdr:rowOff>46160</xdr:rowOff>
    </xdr:to>
    <xdr:pic macro="[0]!ShowHideSlide">
      <xdr:nvPicPr>
        <xdr:cNvPr id="7" name="Picture 6">
          <a:extLst>
            <a:ext uri="{FF2B5EF4-FFF2-40B4-BE49-F238E27FC236}">
              <a16:creationId xmlns:a16="http://schemas.microsoft.com/office/drawing/2014/main" id="{95F9832D-284A-4A2E-85BA-F6ECB8929DE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090883" y="460863"/>
          <a:ext cx="537695" cy="490172"/>
        </a:xfrm>
        <a:prstGeom prst="rect">
          <a:avLst/>
        </a:prstGeom>
      </xdr:spPr>
    </xdr:pic>
    <xdr:clientData/>
  </xdr:twoCellAnchor>
  <xdr:twoCellAnchor editAs="oneCell">
    <xdr:from>
      <xdr:col>0</xdr:col>
      <xdr:colOff>28575</xdr:colOff>
      <xdr:row>1</xdr:row>
      <xdr:rowOff>47544</xdr:rowOff>
    </xdr:from>
    <xdr:to>
      <xdr:col>16</xdr:col>
      <xdr:colOff>98360</xdr:colOff>
      <xdr:row>38</xdr:row>
      <xdr:rowOff>57875</xdr:rowOff>
    </xdr:to>
    <xdr:pic>
      <xdr:nvPicPr>
        <xdr:cNvPr id="5" name="Slide1" hidden="1">
          <a:extLst>
            <a:ext uri="{FF2B5EF4-FFF2-40B4-BE49-F238E27FC236}">
              <a16:creationId xmlns:a16="http://schemas.microsoft.com/office/drawing/2014/main" id="{5A138236-1E24-4874-82EF-D4AA4E32639E}"/>
            </a:ext>
          </a:extLst>
        </xdr:cNvPr>
        <xdr:cNvPicPr>
          <a:picLocks noChangeAspect="1"/>
        </xdr:cNvPicPr>
      </xdr:nvPicPr>
      <xdr:blipFill>
        <a:blip xmlns:r="http://schemas.openxmlformats.org/officeDocument/2006/relationships" r:embed="rId6"/>
        <a:stretch>
          <a:fillRect/>
        </a:stretch>
      </xdr:blipFill>
      <xdr:spPr>
        <a:xfrm>
          <a:off x="28575" y="380919"/>
          <a:ext cx="9966260" cy="7058831"/>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13</xdr:col>
      <xdr:colOff>219836</xdr:colOff>
      <xdr:row>3</xdr:row>
      <xdr:rowOff>107017</xdr:rowOff>
    </xdr:from>
    <xdr:to>
      <xdr:col>22</xdr:col>
      <xdr:colOff>218889</xdr:colOff>
      <xdr:row>31</xdr:row>
      <xdr:rowOff>151840</xdr:rowOff>
    </xdr:to>
    <xdr:graphicFrame macro="">
      <xdr:nvGraphicFramePr>
        <xdr:cNvPr id="4" name="Chart 3">
          <a:extLst>
            <a:ext uri="{FF2B5EF4-FFF2-40B4-BE49-F238E27FC236}">
              <a16:creationId xmlns:a16="http://schemas.microsoft.com/office/drawing/2014/main" id="{2B196E72-52C3-4A83-BB68-7DA5029B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xdr:col>
      <xdr:colOff>638735</xdr:colOff>
      <xdr:row>1</xdr:row>
      <xdr:rowOff>100854</xdr:rowOff>
    </xdr:from>
    <xdr:to>
      <xdr:col>11</xdr:col>
      <xdr:colOff>323850</xdr:colOff>
      <xdr:row>4</xdr:row>
      <xdr:rowOff>102608</xdr:rowOff>
    </xdr:to>
    <xdr:pic>
      <xdr:nvPicPr>
        <xdr:cNvPr id="5" name="Picture 4">
          <a:extLst>
            <a:ext uri="{FF2B5EF4-FFF2-40B4-BE49-F238E27FC236}">
              <a16:creationId xmlns:a16="http://schemas.microsoft.com/office/drawing/2014/main" id="{CC1CFF44-AE55-4C72-AF95-FBEF510C437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134660" y="434229"/>
          <a:ext cx="2666440" cy="573254"/>
        </a:xfrm>
        <a:prstGeom prst="rect">
          <a:avLst/>
        </a:prstGeom>
      </xdr:spPr>
    </xdr:pic>
    <xdr:clientData/>
  </xdr:twoCellAnchor>
  <xdr:twoCellAnchor editAs="oneCell">
    <xdr:from>
      <xdr:col>12</xdr:col>
      <xdr:colOff>76759</xdr:colOff>
      <xdr:row>1</xdr:row>
      <xdr:rowOff>79002</xdr:rowOff>
    </xdr:from>
    <xdr:to>
      <xdr:col>13</xdr:col>
      <xdr:colOff>8115</xdr:colOff>
      <xdr:row>4</xdr:row>
      <xdr:rowOff>12327</xdr:rowOff>
    </xdr:to>
    <xdr:pic macro="[0]!ShowHideSlide">
      <xdr:nvPicPr>
        <xdr:cNvPr id="6" name="Picture 5">
          <a:extLst>
            <a:ext uri="{FF2B5EF4-FFF2-40B4-BE49-F238E27FC236}">
              <a16:creationId xmlns:a16="http://schemas.microsoft.com/office/drawing/2014/main" id="{0384BFB7-999B-42FD-A2EF-FDE62A7F091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896909" y="412377"/>
          <a:ext cx="547306" cy="504825"/>
        </a:xfrm>
        <a:prstGeom prst="rect">
          <a:avLst/>
        </a:prstGeom>
      </xdr:spPr>
    </xdr:pic>
    <xdr:clientData/>
  </xdr:twoCellAnchor>
  <xdr:twoCellAnchor editAs="oneCell">
    <xdr:from>
      <xdr:col>0</xdr:col>
      <xdr:colOff>47625</xdr:colOff>
      <xdr:row>4</xdr:row>
      <xdr:rowOff>77507</xdr:rowOff>
    </xdr:from>
    <xdr:to>
      <xdr:col>13</xdr:col>
      <xdr:colOff>19490</xdr:colOff>
      <xdr:row>36</xdr:row>
      <xdr:rowOff>98332</xdr:rowOff>
    </xdr:to>
    <xdr:pic>
      <xdr:nvPicPr>
        <xdr:cNvPr id="7" name="Slide1" hidden="1">
          <a:extLst>
            <a:ext uri="{FF2B5EF4-FFF2-40B4-BE49-F238E27FC236}">
              <a16:creationId xmlns:a16="http://schemas.microsoft.com/office/drawing/2014/main" id="{D9A11C7A-6019-4EFD-9A15-ED9B5B342848}"/>
            </a:ext>
          </a:extLst>
        </xdr:cNvPr>
        <xdr:cNvPicPr>
          <a:picLocks noChangeAspect="1"/>
        </xdr:cNvPicPr>
      </xdr:nvPicPr>
      <xdr:blipFill>
        <a:blip xmlns:r="http://schemas.openxmlformats.org/officeDocument/2006/relationships" r:embed="rId4"/>
        <a:stretch>
          <a:fillRect/>
        </a:stretch>
      </xdr:blipFill>
      <xdr:spPr>
        <a:xfrm>
          <a:off x="47625" y="982382"/>
          <a:ext cx="8915840" cy="6116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QRA/Alan/Training/Risk%20Practic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sset Returns"/>
      <sheetName val="Slide3"/>
      <sheetName val="Slide4"/>
      <sheetName val="Slide5"/>
      <sheetName val="Slide6"/>
      <sheetName val="Slides7-8"/>
      <sheetName val="Slide9"/>
      <sheetName val="Slide10"/>
      <sheetName val="Slides12-16"/>
      <sheetName val="Slide19"/>
      <sheetName val="Surface"/>
      <sheetName val="bivar normal"/>
      <sheetName val=" Covar Scatter"/>
      <sheetName val=" Covar SAFE"/>
    </sheetNames>
    <sheetDataSet>
      <sheetData sheetId="0"/>
      <sheetData sheetId="1"/>
      <sheetData sheetId="2"/>
      <sheetData sheetId="3">
        <row r="1">
          <cell r="C1">
            <v>5</v>
          </cell>
        </row>
        <row r="5">
          <cell r="C5">
            <v>-1.6448536269514726</v>
          </cell>
        </row>
      </sheetData>
      <sheetData sheetId="4"/>
      <sheetData sheetId="5"/>
      <sheetData sheetId="6"/>
      <sheetData sheetId="7"/>
      <sheetData sheetId="8"/>
      <sheetData sheetId="9"/>
      <sheetData sheetId="10"/>
      <sheetData sheetId="11">
        <row r="5">
          <cell r="C5">
            <v>3.1906306224543906E-7</v>
          </cell>
        </row>
      </sheetData>
      <sheetData sheetId="12"/>
      <sheetData sheetId="13">
        <row r="11">
          <cell r="C11">
            <v>1</v>
          </cell>
          <cell r="D11">
            <v>0</v>
          </cell>
        </row>
      </sheetData>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118B78-965A-4F5A-8721-67D2261B4DA6}">
  <sheetPr codeName="Sheet4"/>
  <dimension ref="A1"/>
  <sheetViews>
    <sheetView workbookViewId="0">
      <selection activeCell="C17" sqref="C17"/>
    </sheetView>
  </sheetViews>
  <sheetFormatPr defaultColWidth="8.6640625" defaultRowHeight="14.4" x14ac:dyDescent="0.3"/>
  <cols>
    <col min="1" max="16384" width="8.6640625" style="1"/>
  </cols>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4E2A22-12E8-44CC-9F72-957BF5DC8835}">
  <sheetPr codeName="Sheet10"/>
  <dimension ref="A1:P211"/>
  <sheetViews>
    <sheetView tabSelected="1" zoomScale="70" zoomScaleNormal="70" workbookViewId="0">
      <selection activeCell="F5" sqref="F5"/>
    </sheetView>
  </sheetViews>
  <sheetFormatPr defaultColWidth="8.6640625" defaultRowHeight="14.4" x14ac:dyDescent="0.3"/>
  <cols>
    <col min="1" max="1" width="8.6640625" style="2"/>
    <col min="2" max="4" width="10.6640625" style="2" customWidth="1"/>
    <col min="5" max="16384" width="8.6640625" style="2"/>
  </cols>
  <sheetData>
    <row r="1" spans="1:16" s="37" customFormat="1" ht="25.8" x14ac:dyDescent="0.5">
      <c r="A1" s="37" t="s">
        <v>36</v>
      </c>
    </row>
    <row r="2" spans="1:16" s="1" customFormat="1" x14ac:dyDescent="0.3"/>
    <row r="3" spans="1:16" x14ac:dyDescent="0.3">
      <c r="P3" s="2">
        <v>0</v>
      </c>
    </row>
    <row r="4" spans="1:16" x14ac:dyDescent="0.3">
      <c r="B4" s="3" t="s">
        <v>1</v>
      </c>
      <c r="C4" s="8">
        <v>0</v>
      </c>
      <c r="D4" s="8">
        <v>1</v>
      </c>
    </row>
    <row r="5" spans="1:16" x14ac:dyDescent="0.3">
      <c r="B5" s="3" t="s">
        <v>2</v>
      </c>
      <c r="C5" s="8">
        <v>1</v>
      </c>
      <c r="D5" s="8">
        <v>2</v>
      </c>
      <c r="F5" s="4"/>
    </row>
    <row r="6" spans="1:16" x14ac:dyDescent="0.3">
      <c r="B6" s="3" t="s">
        <v>3</v>
      </c>
      <c r="C6" s="9">
        <f>_xlfn.NORM.INV(VaR_Threshold/100,muA,sigmaA)</f>
        <v>-1.6448536269514726</v>
      </c>
      <c r="D6" s="9">
        <f>_xlfn.NORM.INV(VaR_Threshold/100,muB,sigmaB)</f>
        <v>-2.2897072539029453</v>
      </c>
      <c r="F6" s="4"/>
    </row>
    <row r="7" spans="1:16" x14ac:dyDescent="0.3">
      <c r="B7" s="3" t="s">
        <v>4</v>
      </c>
      <c r="C7" s="9">
        <f>muA-sigmaA*(100/VaR_Threshold)*(1/SQRT(2*PI())*EXP(-0.5*NORMSINV(VaR_Threshold/100)^2))</f>
        <v>-2.0627128075074266</v>
      </c>
      <c r="D7" s="9">
        <f>muB-sigmaB*(100/VaR_Threshold)*(1/SQRT(2*PI())*EXP(-0.5*NORMSINV(VaR_Threshold/100)^2))</f>
        <v>-3.1254256150148532</v>
      </c>
    </row>
    <row r="8" spans="1:16" x14ac:dyDescent="0.3">
      <c r="B8" s="3" t="s">
        <v>0</v>
      </c>
      <c r="C8" s="10">
        <v>5</v>
      </c>
      <c r="D8" s="11"/>
    </row>
    <row r="10" spans="1:16" x14ac:dyDescent="0.3">
      <c r="B10" s="12" t="s">
        <v>5</v>
      </c>
      <c r="C10" s="12" t="s">
        <v>6</v>
      </c>
      <c r="D10" s="12" t="s">
        <v>7</v>
      </c>
      <c r="F10" s="3" t="s">
        <v>5</v>
      </c>
      <c r="G10" s="3" t="s">
        <v>8</v>
      </c>
      <c r="H10" s="3"/>
      <c r="I10" s="3" t="s">
        <v>5</v>
      </c>
      <c r="J10" s="3" t="s">
        <v>9</v>
      </c>
    </row>
    <row r="11" spans="1:16" x14ac:dyDescent="0.3">
      <c r="B11" s="14">
        <f>MIN(muA-(4*sigmaA),muB-(4*sigmaB))</f>
        <v>-7</v>
      </c>
      <c r="C11" s="13">
        <f t="shared" ref="C11:C74" si="0">_xlfn.NORM.DIST($B11,muA,sigmaA,FALSE)</f>
        <v>9.1347204083645936E-12</v>
      </c>
      <c r="D11" s="13">
        <f t="shared" ref="D11:D74" si="1">_xlfn.NORM.DIST($B11,muB,sigmaB,FALSE)</f>
        <v>6.6915112882442684E-5</v>
      </c>
      <c r="F11" s="2">
        <f>B11</f>
        <v>-7</v>
      </c>
      <c r="G11" s="2">
        <v>0</v>
      </c>
      <c r="I11" s="4">
        <f>B11</f>
        <v>-7</v>
      </c>
      <c r="J11" s="2">
        <v>0</v>
      </c>
    </row>
    <row r="12" spans="1:16" x14ac:dyDescent="0.3">
      <c r="A12" s="5">
        <f>ABS((B211-B11)/200)</f>
        <v>0.08</v>
      </c>
      <c r="B12" s="14">
        <f>B11+$A$12</f>
        <v>-6.92</v>
      </c>
      <c r="C12" s="13">
        <f>_xlfn.NORM.DIST($B12,muA,sigmaA,FALSE)</f>
        <v>1.5940811515883886E-11</v>
      </c>
      <c r="D12" s="13">
        <f t="shared" si="1"/>
        <v>7.8462817032766131E-5</v>
      </c>
      <c r="F12" s="2">
        <f>CVaRA-0.00001</f>
        <v>-2.0627228075074266</v>
      </c>
      <c r="G12" s="2">
        <v>0</v>
      </c>
      <c r="I12" s="2">
        <f>CVaRB-0.00001</f>
        <v>-3.1254356150148532</v>
      </c>
      <c r="J12" s="2">
        <v>0</v>
      </c>
    </row>
    <row r="13" spans="1:16" x14ac:dyDescent="0.3">
      <c r="B13" s="14">
        <f t="shared" ref="B13:B76" si="2">B12+$A$12</f>
        <v>-6.84</v>
      </c>
      <c r="C13" s="13">
        <f>_xlfn.NORM.DIST($B13,muA,sigmaA,FALSE)</f>
        <v>2.7640513661679543E-11</v>
      </c>
      <c r="D13" s="13">
        <f t="shared" si="1"/>
        <v>9.1856249001228554E-5</v>
      </c>
      <c r="F13" s="2">
        <f>CVaRA</f>
        <v>-2.0627128075074266</v>
      </c>
      <c r="G13" s="2">
        <f>_xlfn.NORM.DIST($F13,muA,sigmaA,FALSE)</f>
        <v>4.7533022625005285E-2</v>
      </c>
      <c r="I13" s="2">
        <f>CVaRB</f>
        <v>-3.1254256150148532</v>
      </c>
      <c r="J13" s="2">
        <f>_xlfn.NORM.DIST($I13,muB,sigmaB,FALSE)</f>
        <v>2.3766511312502642E-2</v>
      </c>
    </row>
    <row r="14" spans="1:16" x14ac:dyDescent="0.3">
      <c r="B14" s="14">
        <f t="shared" si="2"/>
        <v>-6.76</v>
      </c>
      <c r="C14" s="13">
        <f t="shared" si="0"/>
        <v>4.762141631915674E-11</v>
      </c>
      <c r="D14" s="13">
        <f t="shared" si="1"/>
        <v>1.0736399075018352E-4</v>
      </c>
      <c r="F14" s="2">
        <f>CVaRA+0.00001</f>
        <v>-2.0627028075074265</v>
      </c>
      <c r="G14" s="2">
        <v>0</v>
      </c>
      <c r="I14" s="2">
        <f>CVaRB+0.00001</f>
        <v>-3.1254156150148531</v>
      </c>
      <c r="J14" s="2">
        <v>0</v>
      </c>
    </row>
    <row r="15" spans="1:16" x14ac:dyDescent="0.3">
      <c r="B15" s="14">
        <f t="shared" si="2"/>
        <v>-6.68</v>
      </c>
      <c r="C15" s="13">
        <f t="shared" si="0"/>
        <v>8.1522787527000639E-11</v>
      </c>
      <c r="D15" s="13">
        <f t="shared" si="1"/>
        <v>1.2528922244543037E-4</v>
      </c>
      <c r="F15" s="2">
        <f>VaRA-0.00001</f>
        <v>-1.6448636269514727</v>
      </c>
      <c r="G15" s="2">
        <v>0</v>
      </c>
      <c r="I15" s="2">
        <f>VaRB-0.00001</f>
        <v>-2.2897172539029453</v>
      </c>
      <c r="J15" s="2">
        <v>0</v>
      </c>
    </row>
    <row r="16" spans="1:16" x14ac:dyDescent="0.3">
      <c r="B16" s="14">
        <f t="shared" si="2"/>
        <v>-6.6</v>
      </c>
      <c r="C16" s="13">
        <f t="shared" si="0"/>
        <v>1.3866799941653172E-10</v>
      </c>
      <c r="D16" s="13">
        <f t="shared" si="1"/>
        <v>1.4597346289573014E-4</v>
      </c>
      <c r="F16" s="2">
        <f>VaRA</f>
        <v>-1.6448536269514726</v>
      </c>
      <c r="G16" s="2">
        <f>_xlfn.NORM.DIST($F16,muA,sigmaA,FALSE)</f>
        <v>0.10313564037537132</v>
      </c>
      <c r="I16" s="2">
        <f>VaRB</f>
        <v>-2.2897072539029453</v>
      </c>
      <c r="J16" s="2">
        <f>_xlfn.NORM.DIST($I16,muB,sigmaB,FALSE)</f>
        <v>5.1567820187685659E-2</v>
      </c>
    </row>
    <row r="17" spans="2:10" x14ac:dyDescent="0.3">
      <c r="B17" s="14">
        <f t="shared" si="2"/>
        <v>-6.52</v>
      </c>
      <c r="C17" s="13">
        <f t="shared" si="0"/>
        <v>2.3436566877932076E-10</v>
      </c>
      <c r="D17" s="13">
        <f t="shared" si="1"/>
        <v>1.6980060624182739E-4</v>
      </c>
      <c r="F17" s="2">
        <f>VaRA+0.00001</f>
        <v>-1.6448436269514726</v>
      </c>
      <c r="G17" s="2">
        <v>0</v>
      </c>
      <c r="I17" s="2">
        <f>VaRB+0.00001</f>
        <v>-2.2896972539029452</v>
      </c>
      <c r="J17" s="2">
        <v>0</v>
      </c>
    </row>
    <row r="18" spans="2:10" x14ac:dyDescent="0.3">
      <c r="B18" s="14">
        <f t="shared" si="2"/>
        <v>-6.4399999999999995</v>
      </c>
      <c r="C18" s="13">
        <f t="shared" si="0"/>
        <v>3.9357930409014538E-10</v>
      </c>
      <c r="D18" s="13">
        <f t="shared" si="1"/>
        <v>1.9720126248457846E-4</v>
      </c>
      <c r="F18" s="2">
        <f>muA-sigmaA-0.00001</f>
        <v>-1.0000100000000001</v>
      </c>
      <c r="G18" s="2">
        <v>0</v>
      </c>
      <c r="I18" s="2">
        <f>muB-sigmaB-0.00001</f>
        <v>-1.0000100000000001</v>
      </c>
      <c r="J18" s="2">
        <v>0</v>
      </c>
    </row>
    <row r="19" spans="2:10" x14ac:dyDescent="0.3">
      <c r="B19" s="14">
        <f t="shared" si="2"/>
        <v>-6.3599999999999994</v>
      </c>
      <c r="C19" s="13">
        <f t="shared" si="0"/>
        <v>6.5673630963611265E-10</v>
      </c>
      <c r="D19" s="13">
        <f t="shared" si="1"/>
        <v>2.2865740702992881E-4</v>
      </c>
      <c r="F19" s="2">
        <f>muA-sigmaA</f>
        <v>-1</v>
      </c>
      <c r="G19" s="2">
        <f>_xlfn.NORM.DIST($F19,muA,sigmaA,FALSE)</f>
        <v>0.24197072451914337</v>
      </c>
      <c r="I19" s="2">
        <f>muB-sigmaB</f>
        <v>-1</v>
      </c>
      <c r="J19" s="2">
        <f>_xlfn.NORM.DIST($I19,muB,sigmaB,FALSE)</f>
        <v>0.12098536225957168</v>
      </c>
    </row>
    <row r="20" spans="2:10" x14ac:dyDescent="0.3">
      <c r="B20" s="14">
        <f t="shared" si="2"/>
        <v>-6.2799999999999994</v>
      </c>
      <c r="C20" s="13">
        <f t="shared" si="0"/>
        <v>1.088855673277068E-9</v>
      </c>
      <c r="D20" s="13">
        <f t="shared" si="1"/>
        <v>2.6470734154746781E-4</v>
      </c>
      <c r="F20" s="2">
        <f>muA-sigmaA+0.00001</f>
        <v>-0.99999000000000005</v>
      </c>
      <c r="G20" s="2">
        <v>0</v>
      </c>
      <c r="I20" s="2">
        <f>muB-sigmaB+0.00001</f>
        <v>-0.99999000000000005</v>
      </c>
      <c r="J20" s="2">
        <v>0</v>
      </c>
    </row>
    <row r="21" spans="2:10" x14ac:dyDescent="0.3">
      <c r="B21" s="14">
        <f t="shared" si="2"/>
        <v>-6.1999999999999993</v>
      </c>
      <c r="C21" s="13">
        <f t="shared" si="0"/>
        <v>1.7937839079640922E-9</v>
      </c>
      <c r="D21" s="13">
        <f t="shared" si="1"/>
        <v>3.0595096505688649E-4</v>
      </c>
      <c r="F21" s="2">
        <f>muA-0.00001</f>
        <v>-1.0000000000000001E-5</v>
      </c>
      <c r="G21" s="2">
        <v>0</v>
      </c>
      <c r="I21" s="2">
        <f>muB-0.00001</f>
        <v>0.99999000000000005</v>
      </c>
      <c r="J21" s="2">
        <v>0</v>
      </c>
    </row>
    <row r="22" spans="2:10" x14ac:dyDescent="0.3">
      <c r="B22" s="14">
        <f t="shared" si="2"/>
        <v>-6.1199999999999992</v>
      </c>
      <c r="C22" s="13">
        <f t="shared" si="0"/>
        <v>2.9362325198239412E-9</v>
      </c>
      <c r="D22" s="13">
        <f t="shared" si="1"/>
        <v>3.5305535024401875E-4</v>
      </c>
      <c r="F22" s="2">
        <f>muA</f>
        <v>0</v>
      </c>
      <c r="G22" s="2">
        <f>_xlfn.NORM.DIST($F22,muA,sigmaA,FALSE)</f>
        <v>0.3989422804014327</v>
      </c>
      <c r="I22" s="2">
        <f>muB</f>
        <v>1</v>
      </c>
      <c r="J22" s="2">
        <f>_xlfn.NORM.DIST($I22,muB,sigmaB,FALSE)</f>
        <v>0.19947114020071635</v>
      </c>
    </row>
    <row r="23" spans="2:10" x14ac:dyDescent="0.3">
      <c r="B23" s="14">
        <f t="shared" si="2"/>
        <v>-6.0399999999999991</v>
      </c>
      <c r="C23" s="13">
        <f t="shared" si="0"/>
        <v>4.7756366922822924E-9</v>
      </c>
      <c r="D23" s="13">
        <f t="shared" si="1"/>
        <v>4.0676061554090459E-4</v>
      </c>
      <c r="F23" s="2">
        <f>muA+0.00001</f>
        <v>1.0000000000000001E-5</v>
      </c>
      <c r="G23" s="2">
        <v>0</v>
      </c>
      <c r="I23" s="2">
        <f>muB+0.00001</f>
        <v>1.0000100000000001</v>
      </c>
      <c r="J23" s="2">
        <v>0</v>
      </c>
    </row>
    <row r="24" spans="2:10" x14ac:dyDescent="0.3">
      <c r="B24" s="14">
        <f t="shared" si="2"/>
        <v>-5.9599999999999991</v>
      </c>
      <c r="C24" s="13">
        <f t="shared" si="0"/>
        <v>7.717784212570557E-9</v>
      </c>
      <c r="D24" s="13">
        <f t="shared" si="1"/>
        <v>4.6788607846374064E-4</v>
      </c>
      <c r="F24" s="2">
        <f>muA+sigmaA-0.00001</f>
        <v>0.99999000000000005</v>
      </c>
      <c r="G24" s="2">
        <v>0</v>
      </c>
      <c r="I24" s="2">
        <f>muB+sigmaB-0.00001</f>
        <v>2.9999899999999999</v>
      </c>
      <c r="J24" s="2">
        <v>0</v>
      </c>
    </row>
    <row r="25" spans="2:10" x14ac:dyDescent="0.3">
      <c r="B25" s="14">
        <f t="shared" si="2"/>
        <v>-5.879999999999999</v>
      </c>
      <c r="C25" s="13">
        <f t="shared" si="0"/>
        <v>1.2392944314150173E-8</v>
      </c>
      <c r="D25" s="13">
        <f t="shared" si="1"/>
        <v>5.3733667007686836E-4</v>
      </c>
      <c r="F25" s="2">
        <f>muA+sigmaA</f>
        <v>1</v>
      </c>
      <c r="G25" s="2">
        <f>_xlfn.NORM.DIST($F25,muA,sigmaA,FALSE)</f>
        <v>0.24197072451914337</v>
      </c>
      <c r="I25" s="2">
        <f>muB+sigmaB</f>
        <v>3</v>
      </c>
      <c r="J25" s="2">
        <f>_xlfn.NORM.DIST($I25,muB,sigmaB,FALSE)</f>
        <v>0.12098536225957168</v>
      </c>
    </row>
    <row r="26" spans="2:10" x14ac:dyDescent="0.3">
      <c r="B26" s="14">
        <f t="shared" si="2"/>
        <v>-5.7999999999999989</v>
      </c>
      <c r="C26" s="13">
        <f t="shared" si="0"/>
        <v>1.9773196406244814E-8</v>
      </c>
      <c r="D26" s="13">
        <f t="shared" si="1"/>
        <v>6.1610958423651051E-4</v>
      </c>
      <c r="F26" s="2">
        <f>muA+sigmaA+0.00001</f>
        <v>1.0000100000000001</v>
      </c>
      <c r="G26" s="2">
        <v>0</v>
      </c>
      <c r="I26" s="2">
        <f>muB+sigmaB+0.00001</f>
        <v>3.0000100000000001</v>
      </c>
      <c r="J26" s="2">
        <v>0</v>
      </c>
    </row>
    <row r="27" spans="2:10" x14ac:dyDescent="0.3">
      <c r="B27" s="14">
        <f t="shared" si="2"/>
        <v>-5.7199999999999989</v>
      </c>
      <c r="C27" s="13">
        <f t="shared" si="0"/>
        <v>3.1347273817919896E-8</v>
      </c>
      <c r="D27" s="13">
        <f t="shared" si="1"/>
        <v>7.0530112847069304E-4</v>
      </c>
      <c r="F27" s="2">
        <f>B211</f>
        <v>9</v>
      </c>
      <c r="G27" s="2">
        <v>0</v>
      </c>
      <c r="I27" s="2">
        <f>E211</f>
        <v>0</v>
      </c>
      <c r="J27" s="2">
        <v>0</v>
      </c>
    </row>
    <row r="28" spans="2:10" x14ac:dyDescent="0.3">
      <c r="B28" s="14">
        <f t="shared" si="2"/>
        <v>-5.6399999999999988</v>
      </c>
      <c r="C28" s="13">
        <f t="shared" si="0"/>
        <v>4.9379102271104754E-8</v>
      </c>
      <c r="D28" s="13">
        <f t="shared" si="1"/>
        <v>8.0611373598856373E-4</v>
      </c>
    </row>
    <row r="29" spans="2:10" x14ac:dyDescent="0.3">
      <c r="B29" s="14">
        <f t="shared" si="2"/>
        <v>-5.5599999999999987</v>
      </c>
      <c r="C29" s="13">
        <f t="shared" si="0"/>
        <v>7.7287118885229607E-8</v>
      </c>
      <c r="D29" s="13">
        <f t="shared" si="1"/>
        <v>9.1986309041214125E-4</v>
      </c>
    </row>
    <row r="30" spans="2:10" x14ac:dyDescent="0.3">
      <c r="B30" s="14">
        <f t="shared" si="2"/>
        <v>-5.4799999999999986</v>
      </c>
      <c r="C30" s="13">
        <f t="shared" si="0"/>
        <v>1.2019642790628337E-7</v>
      </c>
      <c r="D30" s="13">
        <f t="shared" si="1"/>
        <v>1.0479853064289746E-3</v>
      </c>
    </row>
    <row r="31" spans="2:10" x14ac:dyDescent="0.3">
      <c r="B31" s="14">
        <f t="shared" si="2"/>
        <v>-5.3999999999999986</v>
      </c>
      <c r="C31" s="13">
        <f t="shared" si="0"/>
        <v>1.8573618445553061E-7</v>
      </c>
      <c r="D31" s="13">
        <f t="shared" si="1"/>
        <v>1.1920441007324243E-3</v>
      </c>
    </row>
    <row r="32" spans="2:10" x14ac:dyDescent="0.3">
      <c r="B32" s="14">
        <f t="shared" si="2"/>
        <v>-5.3199999999999985</v>
      </c>
      <c r="C32" s="13">
        <f t="shared" si="0"/>
        <v>2.8518192322840016E-7</v>
      </c>
      <c r="D32" s="13">
        <f t="shared" si="1"/>
        <v>1.3537378784203549E-3</v>
      </c>
    </row>
    <row r="33" spans="2:4" x14ac:dyDescent="0.3">
      <c r="B33" s="14">
        <f t="shared" si="2"/>
        <v>-5.2399999999999984</v>
      </c>
      <c r="C33" s="13">
        <f t="shared" si="0"/>
        <v>4.3507886075151478E-7</v>
      </c>
      <c r="D33" s="13">
        <f t="shared" si="1"/>
        <v>1.5349066505523743E-3</v>
      </c>
    </row>
    <row r="34" spans="2:4" x14ac:dyDescent="0.3">
      <c r="B34" s="14">
        <f t="shared" si="2"/>
        <v>-5.1599999999999984</v>
      </c>
      <c r="C34" s="13">
        <f t="shared" si="0"/>
        <v>6.595298968575275E-7</v>
      </c>
      <c r="D34" s="13">
        <f t="shared" si="1"/>
        <v>1.7375386889274737E-3</v>
      </c>
    </row>
    <row r="35" spans="2:4" x14ac:dyDescent="0.3">
      <c r="B35" s="14">
        <f t="shared" si="2"/>
        <v>-5.0799999999999983</v>
      </c>
      <c r="C35" s="13">
        <f t="shared" si="0"/>
        <v>9.9339394133992092E-7</v>
      </c>
      <c r="D35" s="13">
        <f t="shared" si="1"/>
        <v>1.9637768144623946E-3</v>
      </c>
    </row>
    <row r="36" spans="2:4" x14ac:dyDescent="0.3">
      <c r="B36" s="14">
        <f t="shared" si="2"/>
        <v>-4.9999999999999982</v>
      </c>
      <c r="C36" s="13">
        <f t="shared" si="0"/>
        <v>1.486719514734311E-6</v>
      </c>
      <c r="D36" s="13">
        <f t="shared" si="1"/>
        <v>2.2159242059690094E-3</v>
      </c>
    </row>
    <row r="37" spans="2:4" x14ac:dyDescent="0.3">
      <c r="B37" s="14">
        <f t="shared" si="2"/>
        <v>-4.9199999999999982</v>
      </c>
      <c r="C37" s="13">
        <f t="shared" si="0"/>
        <v>2.2108388745684411E-6</v>
      </c>
      <c r="D37" s="13">
        <f t="shared" si="1"/>
        <v>2.4964496068061947E-3</v>
      </c>
    </row>
    <row r="38" spans="2:4" x14ac:dyDescent="0.3">
      <c r="B38" s="14">
        <f t="shared" si="2"/>
        <v>-4.8399999999999981</v>
      </c>
      <c r="C38" s="13">
        <f t="shared" si="0"/>
        <v>3.2666729639933044E-6</v>
      </c>
      <c r="D38" s="13">
        <f t="shared" si="1"/>
        <v>2.8079917979954919E-3</v>
      </c>
    </row>
    <row r="39" spans="2:4" x14ac:dyDescent="0.3">
      <c r="B39" s="14">
        <f t="shared" si="2"/>
        <v>-4.759999999999998</v>
      </c>
      <c r="C39" s="13">
        <f t="shared" si="0"/>
        <v>4.7959510215525641E-6</v>
      </c>
      <c r="D39" s="13">
        <f t="shared" si="1"/>
        <v>3.1533631981329724E-3</v>
      </c>
    </row>
    <row r="40" spans="2:4" x14ac:dyDescent="0.3">
      <c r="B40" s="14">
        <f t="shared" si="2"/>
        <v>-4.6799999999999979</v>
      </c>
      <c r="C40" s="13">
        <f t="shared" si="0"/>
        <v>6.996234143270455E-6</v>
      </c>
      <c r="D40" s="13">
        <f t="shared" si="1"/>
        <v>3.5355524430097339E-3</v>
      </c>
    </row>
    <row r="41" spans="2:4" x14ac:dyDescent="0.3">
      <c r="B41" s="14">
        <f t="shared" si="2"/>
        <v>-4.5999999999999979</v>
      </c>
      <c r="C41" s="13">
        <f t="shared" si="0"/>
        <v>1.014085206548685E-5</v>
      </c>
      <c r="D41" s="13">
        <f t="shared" si="1"/>
        <v>3.9577257914899947E-3</v>
      </c>
    </row>
    <row r="42" spans="2:4" x14ac:dyDescent="0.3">
      <c r="B42" s="14">
        <f t="shared" si="2"/>
        <v>-4.5199999999999978</v>
      </c>
      <c r="C42" s="13">
        <f t="shared" si="0"/>
        <v>1.4605118139153044E-5</v>
      </c>
      <c r="D42" s="13">
        <f t="shared" si="1"/>
        <v>4.4232271991186253E-3</v>
      </c>
    </row>
    <row r="43" spans="2:4" x14ac:dyDescent="0.3">
      <c r="B43" s="14">
        <f t="shared" si="2"/>
        <v>-4.4399999999999977</v>
      </c>
      <c r="C43" s="13">
        <f t="shared" si="0"/>
        <v>2.0900477900450665E-5</v>
      </c>
      <c r="D43" s="13">
        <f t="shared" si="1"/>
        <v>4.935576897375585E-3</v>
      </c>
    </row>
    <row r="44" spans="2:4" x14ac:dyDescent="0.3">
      <c r="B44" s="14">
        <f t="shared" si="2"/>
        <v>-4.3599999999999977</v>
      </c>
      <c r="C44" s="13">
        <f t="shared" si="0"/>
        <v>2.9718567676442518E-5</v>
      </c>
      <c r="D44" s="13">
        <f t="shared" si="1"/>
        <v>5.4984683147028058E-3</v>
      </c>
    </row>
    <row r="45" spans="2:4" x14ac:dyDescent="0.3">
      <c r="B45" s="14">
        <f t="shared" si="2"/>
        <v>-4.2799999999999976</v>
      </c>
      <c r="C45" s="13">
        <f t="shared" si="0"/>
        <v>4.1987502931617769E-5</v>
      </c>
      <c r="D45" s="13">
        <f t="shared" si="1"/>
        <v>6.1157631756390066E-3</v>
      </c>
    </row>
    <row r="46" spans="2:4" x14ac:dyDescent="0.3">
      <c r="B46" s="14">
        <f t="shared" si="2"/>
        <v>-4.1999999999999975</v>
      </c>
      <c r="C46" s="13">
        <f t="shared" si="0"/>
        <v>5.8943067756540478E-5</v>
      </c>
      <c r="D46" s="13">
        <f t="shared" si="1"/>
        <v>6.7914846168428307E-3</v>
      </c>
    </row>
    <row r="47" spans="2:4" x14ac:dyDescent="0.3">
      <c r="B47" s="14">
        <f t="shared" si="2"/>
        <v>-4.1199999999999974</v>
      </c>
      <c r="C47" s="13">
        <f t="shared" si="0"/>
        <v>8.221781653628687E-5</v>
      </c>
      <c r="D47" s="13">
        <f t="shared" si="1"/>
        <v>7.5298081636887525E-3</v>
      </c>
    </row>
    <row r="48" spans="2:4" x14ac:dyDescent="0.3">
      <c r="B48" s="14">
        <f t="shared" si="2"/>
        <v>-4.0399999999999974</v>
      </c>
      <c r="C48" s="13">
        <f t="shared" si="0"/>
        <v>1.1395139806886584E-4</v>
      </c>
      <c r="D48" s="13">
        <f t="shared" si="1"/>
        <v>8.335050418690558E-3</v>
      </c>
    </row>
    <row r="49" spans="2:4" x14ac:dyDescent="0.3">
      <c r="B49" s="14">
        <f t="shared" si="2"/>
        <v>-3.9599999999999973</v>
      </c>
      <c r="C49" s="13">
        <f t="shared" si="0"/>
        <v>1.5692563406553394E-4</v>
      </c>
      <c r="D49" s="13">
        <f t="shared" si="1"/>
        <v>9.2116553234310571E-3</v>
      </c>
    </row>
    <row r="50" spans="2:4" x14ac:dyDescent="0.3">
      <c r="B50" s="14">
        <f t="shared" si="2"/>
        <v>-3.8799999999999972</v>
      </c>
      <c r="C50" s="13">
        <f t="shared" si="0"/>
        <v>2.1472798150036932E-4</v>
      </c>
      <c r="D50" s="13">
        <f t="shared" si="1"/>
        <v>1.016417786911295E-2</v>
      </c>
    </row>
    <row r="51" spans="2:4" x14ac:dyDescent="0.3">
      <c r="B51" s="14">
        <f t="shared" si="2"/>
        <v>-3.7999999999999972</v>
      </c>
      <c r="C51" s="13">
        <f t="shared" si="0"/>
        <v>2.9194692579146342E-4</v>
      </c>
      <c r="D51" s="13">
        <f t="shared" si="1"/>
        <v>1.1197265147421484E-2</v>
      </c>
    </row>
    <row r="52" spans="2:4" x14ac:dyDescent="0.3">
      <c r="B52" s="14">
        <f t="shared" si="2"/>
        <v>-3.7199999999999971</v>
      </c>
      <c r="C52" s="13">
        <f t="shared" si="0"/>
        <v>3.9440252496916083E-4</v>
      </c>
      <c r="D52" s="13">
        <f t="shared" si="1"/>
        <v>1.2315634653191292E-2</v>
      </c>
    </row>
    <row r="53" spans="2:4" x14ac:dyDescent="0.3">
      <c r="B53" s="14">
        <f t="shared" si="2"/>
        <v>-3.639999999999997</v>
      </c>
      <c r="C53" s="13">
        <f t="shared" si="0"/>
        <v>5.2941468309494082E-4</v>
      </c>
      <c r="D53" s="13">
        <f t="shared" si="1"/>
        <v>1.3524049773440936E-2</v>
      </c>
    </row>
    <row r="54" spans="2:4" x14ac:dyDescent="0.3">
      <c r="B54" s="14">
        <f t="shared" si="2"/>
        <v>-3.5599999999999969</v>
      </c>
      <c r="C54" s="13">
        <f t="shared" si="0"/>
        <v>7.0611070048804379E-4</v>
      </c>
      <c r="D54" s="13">
        <f t="shared" si="1"/>
        <v>1.4827292423670686E-2</v>
      </c>
    </row>
    <row r="55" spans="2:4" x14ac:dyDescent="0.3">
      <c r="B55" s="14">
        <f t="shared" si="2"/>
        <v>-3.4799999999999969</v>
      </c>
      <c r="C55" s="13">
        <f t="shared" si="0"/>
        <v>9.3577215692748964E-4</v>
      </c>
      <c r="D55" s="13">
        <f t="shared" si="1"/>
        <v>1.6230132821848785E-2</v>
      </c>
    </row>
    <row r="56" spans="2:4" x14ac:dyDescent="0.3">
      <c r="B56" s="14">
        <f t="shared" si="2"/>
        <v>-3.3999999999999968</v>
      </c>
      <c r="C56" s="13">
        <f t="shared" si="0"/>
        <v>1.2322191684730329E-3</v>
      </c>
      <c r="D56" s="13">
        <f t="shared" si="1"/>
        <v>1.7737296423115785E-2</v>
      </c>
    </row>
    <row r="57" spans="2:4" x14ac:dyDescent="0.3">
      <c r="B57" s="14">
        <f t="shared" si="2"/>
        <v>-3.3199999999999967</v>
      </c>
      <c r="C57" s="13">
        <f t="shared" si="0"/>
        <v>1.6122274719771418E-3</v>
      </c>
      <c r="D57" s="13">
        <f t="shared" si="1"/>
        <v>1.9353428073727873E-2</v>
      </c>
    </row>
    <row r="58" spans="2:4" x14ac:dyDescent="0.3">
      <c r="B58" s="14">
        <f t="shared" si="2"/>
        <v>-3.2399999999999967</v>
      </c>
      <c r="C58" s="13">
        <f t="shared" si="0"/>
        <v>2.0959706128579657E-3</v>
      </c>
      <c r="D58" s="13">
        <f t="shared" si="1"/>
        <v>2.1083053480885239E-2</v>
      </c>
    </row>
    <row r="59" spans="2:4" x14ac:dyDescent="0.3">
      <c r="B59" s="14">
        <f t="shared" si="2"/>
        <v>-3.1599999999999966</v>
      </c>
      <c r="C59" s="13">
        <f t="shared" si="0"/>
        <v>2.7074757568407311E-3</v>
      </c>
      <c r="D59" s="13">
        <f t="shared" si="1"/>
        <v>2.2930538135527537E-2</v>
      </c>
    </row>
    <row r="60" spans="2:4" x14ac:dyDescent="0.3">
      <c r="B60" s="14">
        <f t="shared" si="2"/>
        <v>-3.0799999999999965</v>
      </c>
      <c r="C60" s="13">
        <f t="shared" si="0"/>
        <v>3.4750773778549752E-3</v>
      </c>
      <c r="D60" s="13">
        <f t="shared" si="1"/>
        <v>2.4900043867535474E-2</v>
      </c>
    </row>
    <row r="61" spans="2:4" x14ac:dyDescent="0.3">
      <c r="B61" s="14">
        <f t="shared" si="2"/>
        <v>-2.9999999999999964</v>
      </c>
      <c r="C61" s="13">
        <f t="shared" si="0"/>
        <v>4.4318484119380544E-3</v>
      </c>
      <c r="D61" s="13">
        <f t="shared" si="1"/>
        <v>2.6995483256594125E-2</v>
      </c>
    </row>
    <row r="62" spans="2:4" x14ac:dyDescent="0.3">
      <c r="B62" s="14">
        <f t="shared" si="2"/>
        <v>-2.9199999999999964</v>
      </c>
      <c r="C62" s="13">
        <f t="shared" si="0"/>
        <v>5.6159835959910236E-3</v>
      </c>
      <c r="D62" s="13">
        <f t="shared" si="1"/>
        <v>2.9220472166725835E-2</v>
      </c>
    </row>
    <row r="63" spans="2:4" x14ac:dyDescent="0.3">
      <c r="B63" s="14">
        <f t="shared" si="2"/>
        <v>-2.8399999999999963</v>
      </c>
      <c r="C63" s="13">
        <f t="shared" si="0"/>
        <v>7.071104886019525E-3</v>
      </c>
      <c r="D63" s="13">
        <f t="shared" si="1"/>
        <v>3.1578280717599438E-2</v>
      </c>
    </row>
    <row r="64" spans="2:4" x14ac:dyDescent="0.3">
      <c r="B64" s="14">
        <f t="shared" si="2"/>
        <v>-2.7599999999999962</v>
      </c>
      <c r="C64" s="13">
        <f t="shared" si="0"/>
        <v>8.8464543982373182E-3</v>
      </c>
      <c r="D64" s="13">
        <f t="shared" si="1"/>
        <v>3.40717830505224E-2</v>
      </c>
    </row>
    <row r="65" spans="2:4" x14ac:dyDescent="0.3">
      <c r="B65" s="14">
        <f t="shared" si="2"/>
        <v>-2.6799999999999962</v>
      </c>
      <c r="C65" s="13">
        <f t="shared" si="0"/>
        <v>1.0996936629405693E-2</v>
      </c>
      <c r="D65" s="13">
        <f t="shared" si="1"/>
        <v>3.670340629082857E-2</v>
      </c>
    </row>
    <row r="66" spans="2:4" x14ac:dyDescent="0.3">
      <c r="B66" s="14">
        <f t="shared" si="2"/>
        <v>-2.5999999999999961</v>
      </c>
      <c r="C66" s="13">
        <f t="shared" si="0"/>
        <v>1.3582969233685757E-2</v>
      </c>
      <c r="D66" s="13">
        <f t="shared" si="1"/>
        <v>3.9475079150447213E-2</v>
      </c>
    </row>
    <row r="67" spans="2:4" x14ac:dyDescent="0.3">
      <c r="B67" s="14">
        <f t="shared" si="2"/>
        <v>-2.519999999999996</v>
      </c>
      <c r="C67" s="13">
        <f t="shared" si="0"/>
        <v>1.6670100837381227E-2</v>
      </c>
      <c r="D67" s="13">
        <f t="shared" si="1"/>
        <v>4.2388180654011266E-2</v>
      </c>
    </row>
    <row r="68" spans="2:4" x14ac:dyDescent="0.3">
      <c r="B68" s="14">
        <f t="shared" si="2"/>
        <v>-2.4399999999999959</v>
      </c>
      <c r="C68" s="13">
        <f t="shared" si="0"/>
        <v>2.0328355738226035E-2</v>
      </c>
      <c r="D68" s="13">
        <f t="shared" si="1"/>
        <v>4.5443489508141588E-2</v>
      </c>
    </row>
    <row r="69" spans="2:4" x14ac:dyDescent="0.3">
      <c r="B69" s="14">
        <f t="shared" si="2"/>
        <v>-2.3599999999999959</v>
      </c>
      <c r="C69" s="13">
        <f t="shared" si="0"/>
        <v>2.4631269306382736E-2</v>
      </c>
      <c r="D69" s="13">
        <f t="shared" si="1"/>
        <v>4.8641134665733922E-2</v>
      </c>
    </row>
    <row r="70" spans="2:4" x14ac:dyDescent="0.3">
      <c r="B70" s="14">
        <f t="shared" si="2"/>
        <v>-2.2799999999999958</v>
      </c>
      <c r="C70" s="13">
        <f t="shared" si="0"/>
        <v>2.9654584847341556E-2</v>
      </c>
      <c r="D70" s="13">
        <f t="shared" si="1"/>
        <v>5.1980547664382273E-2</v>
      </c>
    </row>
    <row r="71" spans="2:4" x14ac:dyDescent="0.3">
      <c r="B71" s="14">
        <f t="shared" si="2"/>
        <v>-2.1999999999999957</v>
      </c>
      <c r="C71" s="13">
        <f t="shared" si="0"/>
        <v>3.5474592846231771E-2</v>
      </c>
      <c r="D71" s="13">
        <f t="shared" si="1"/>
        <v>5.5460417339727959E-2</v>
      </c>
    </row>
    <row r="72" spans="2:4" x14ac:dyDescent="0.3">
      <c r="B72" s="14">
        <f t="shared" si="2"/>
        <v>-2.1199999999999957</v>
      </c>
      <c r="C72" s="13">
        <f t="shared" si="0"/>
        <v>4.2166106961770707E-2</v>
      </c>
      <c r="D72" s="13">
        <f t="shared" si="1"/>
        <v>5.9078647529791348E-2</v>
      </c>
    </row>
    <row r="73" spans="2:4" x14ac:dyDescent="0.3">
      <c r="B73" s="14">
        <f t="shared" si="2"/>
        <v>-2.0399999999999956</v>
      </c>
      <c r="C73" s="13">
        <f t="shared" si="0"/>
        <v>4.9800087735071212E-2</v>
      </c>
      <c r="D73" s="13">
        <f t="shared" si="1"/>
        <v>6.2832318394544284E-2</v>
      </c>
    </row>
    <row r="74" spans="2:4" x14ac:dyDescent="0.3">
      <c r="B74" s="14">
        <f t="shared" si="2"/>
        <v>-1.9599999999999955</v>
      </c>
      <c r="C74" s="13">
        <f t="shared" si="0"/>
        <v>5.8440944333451983E-2</v>
      </c>
      <c r="D74" s="13">
        <f t="shared" si="1"/>
        <v>6.6717651975501377E-2</v>
      </c>
    </row>
    <row r="75" spans="2:4" x14ac:dyDescent="0.3">
      <c r="B75" s="14">
        <f t="shared" si="2"/>
        <v>-1.8799999999999955</v>
      </c>
      <c r="C75" s="13">
        <f t="shared" ref="C75:C138" si="3">_xlfn.NORM.DIST($B75,muA,sigmaA,FALSE)</f>
        <v>6.8143566101045161E-2</v>
      </c>
      <c r="D75" s="13">
        <f t="shared" ref="D75:D138" si="4">_xlfn.NORM.DIST($B75,muB,sigmaB,FALSE)</f>
        <v>7.0729982612419612E-2</v>
      </c>
    </row>
    <row r="76" spans="2:4" x14ac:dyDescent="0.3">
      <c r="B76" s="14">
        <f t="shared" si="2"/>
        <v>-1.7999999999999954</v>
      </c>
      <c r="C76" s="13">
        <f t="shared" si="3"/>
        <v>7.8950158300894815E-2</v>
      </c>
      <c r="D76" s="13">
        <f t="shared" si="4"/>
        <v>7.4863732817872675E-2</v>
      </c>
    </row>
    <row r="77" spans="2:4" x14ac:dyDescent="0.3">
      <c r="B77" s="14">
        <f t="shared" ref="B77:B140" si="5">B76+$A$12</f>
        <v>-1.7199999999999953</v>
      </c>
      <c r="C77" s="13">
        <f t="shared" si="3"/>
        <v>9.0886979016283606E-2</v>
      </c>
      <c r="D77" s="13">
        <f t="shared" si="4"/>
        <v>7.9112395185191767E-2</v>
      </c>
    </row>
    <row r="78" spans="2:4" x14ac:dyDescent="0.3">
      <c r="B78" s="14">
        <f t="shared" si="5"/>
        <v>-1.6399999999999952</v>
      </c>
      <c r="C78" s="13">
        <f t="shared" si="3"/>
        <v>0.103961095328765</v>
      </c>
      <c r="D78" s="13">
        <f t="shared" si="4"/>
        <v>8.3468520870857169E-2</v>
      </c>
    </row>
    <row r="79" spans="2:4" x14ac:dyDescent="0.3">
      <c r="B79" s="14">
        <f t="shared" si="5"/>
        <v>-1.5599999999999952</v>
      </c>
      <c r="C79" s="13">
        <f t="shared" si="3"/>
        <v>0.11815729505958315</v>
      </c>
      <c r="D79" s="13">
        <f t="shared" si="4"/>
        <v>8.7923715148831447E-2</v>
      </c>
    </row>
    <row r="80" spans="2:4" x14ac:dyDescent="0.3">
      <c r="B80" s="14">
        <f t="shared" si="5"/>
        <v>-1.4799999999999951</v>
      </c>
      <c r="C80" s="13">
        <f t="shared" si="3"/>
        <v>0.13343530395100325</v>
      </c>
      <c r="D80" s="13">
        <f t="shared" si="4"/>
        <v>9.2468640481652931E-2</v>
      </c>
    </row>
    <row r="81" spans="2:4" x14ac:dyDescent="0.3">
      <c r="B81" s="14">
        <f t="shared" si="5"/>
        <v>-1.399999999999995</v>
      </c>
      <c r="C81" s="13">
        <f t="shared" si="3"/>
        <v>0.1497274656357459</v>
      </c>
      <c r="D81" s="13">
        <f t="shared" si="4"/>
        <v>9.7093027491606768E-2</v>
      </c>
    </row>
    <row r="82" spans="2:4" x14ac:dyDescent="0.3">
      <c r="B82" s="14">
        <f t="shared" si="5"/>
        <v>-1.319999999999995</v>
      </c>
      <c r="C82" s="13">
        <f t="shared" si="3"/>
        <v>0.16693704174171495</v>
      </c>
      <c r="D82" s="13">
        <f t="shared" si="4"/>
        <v>0.10178569414538001</v>
      </c>
    </row>
    <row r="83" spans="2:4" x14ac:dyDescent="0.3">
      <c r="B83" s="14">
        <f t="shared" si="5"/>
        <v>-1.2399999999999949</v>
      </c>
      <c r="C83" s="13">
        <f t="shared" si="3"/>
        <v>0.18493728096330647</v>
      </c>
      <c r="D83" s="13">
        <f t="shared" si="4"/>
        <v>0.10653457338785925</v>
      </c>
    </row>
    <row r="84" spans="2:4" x14ac:dyDescent="0.3">
      <c r="B84" s="14">
        <f t="shared" si="5"/>
        <v>-1.1599999999999948</v>
      </c>
      <c r="C84" s="13">
        <f t="shared" si="3"/>
        <v>0.20357138829076069</v>
      </c>
      <c r="D84" s="13">
        <f t="shared" si="4"/>
        <v>0.11132674937588088</v>
      </c>
    </row>
    <row r="85" spans="2:4" x14ac:dyDescent="0.3">
      <c r="B85" s="14">
        <f t="shared" si="5"/>
        <v>-1.0799999999999947</v>
      </c>
      <c r="C85" s="13">
        <f t="shared" si="3"/>
        <v>0.22265349875176244</v>
      </c>
      <c r="D85" s="13">
        <f t="shared" si="4"/>
        <v>0.11614850237168342</v>
      </c>
    </row>
    <row r="86" spans="2:4" x14ac:dyDescent="0.3">
      <c r="B86" s="14">
        <f t="shared" si="5"/>
        <v>-0.99999999999999478</v>
      </c>
      <c r="C86" s="13">
        <f t="shared" si="3"/>
        <v>0.24197072451914464</v>
      </c>
      <c r="D86" s="13">
        <f t="shared" si="4"/>
        <v>0.12098536225957202</v>
      </c>
    </row>
    <row r="87" spans="2:4" x14ac:dyDescent="0.3">
      <c r="B87" s="14">
        <f t="shared" si="5"/>
        <v>-0.91999999999999482</v>
      </c>
      <c r="C87" s="13">
        <f t="shared" si="3"/>
        <v>0.26128630124955438</v>
      </c>
      <c r="D87" s="13">
        <f t="shared" si="4"/>
        <v>0.12582217054905886</v>
      </c>
    </row>
    <row r="88" spans="2:4" x14ac:dyDescent="0.3">
      <c r="B88" s="14">
        <f t="shared" si="5"/>
        <v>-0.83999999999999486</v>
      </c>
      <c r="C88" s="13">
        <f t="shared" si="3"/>
        <v>0.28034381083962179</v>
      </c>
      <c r="D88" s="13">
        <f t="shared" si="4"/>
        <v>0.13064315062477685</v>
      </c>
    </row>
    <row r="89" spans="2:4" x14ac:dyDescent="0.3">
      <c r="B89" s="14">
        <f t="shared" si="5"/>
        <v>-0.7599999999999949</v>
      </c>
      <c r="C89" s="13">
        <f t="shared" si="3"/>
        <v>0.29887240577595398</v>
      </c>
      <c r="D89" s="13">
        <f t="shared" si="4"/>
        <v>0.13543198589916933</v>
      </c>
    </row>
    <row r="90" spans="2:4" x14ac:dyDescent="0.3">
      <c r="B90" s="14">
        <f t="shared" si="5"/>
        <v>-0.67999999999999494</v>
      </c>
      <c r="C90" s="13">
        <f t="shared" si="3"/>
        <v>0.31659290771089388</v>
      </c>
      <c r="D90" s="13">
        <f t="shared" si="4"/>
        <v>0.14017190541981059</v>
      </c>
    </row>
    <row r="91" spans="2:4" x14ac:dyDescent="0.3">
      <c r="B91" s="14">
        <f t="shared" si="5"/>
        <v>-0.59999999999999498</v>
      </c>
      <c r="C91" s="13">
        <f t="shared" si="3"/>
        <v>0.33322460289180067</v>
      </c>
      <c r="D91" s="13">
        <f t="shared" si="4"/>
        <v>0.14484577638074167</v>
      </c>
    </row>
    <row r="92" spans="2:4" x14ac:dyDescent="0.3">
      <c r="B92" s="14">
        <f t="shared" si="5"/>
        <v>-0.51999999999999502</v>
      </c>
      <c r="C92" s="13">
        <f t="shared" si="3"/>
        <v>0.34849251275897541</v>
      </c>
      <c r="D92" s="13">
        <f t="shared" si="4"/>
        <v>0.14943620288797665</v>
      </c>
    </row>
    <row r="93" spans="2:4" x14ac:dyDescent="0.3">
      <c r="B93" s="14">
        <f t="shared" si="5"/>
        <v>-0.43999999999999501</v>
      </c>
      <c r="C93" s="13">
        <f t="shared" si="3"/>
        <v>0.36213488241309305</v>
      </c>
      <c r="D93" s="13">
        <f t="shared" si="4"/>
        <v>0.15392563023492675</v>
      </c>
    </row>
    <row r="94" spans="2:4" x14ac:dyDescent="0.3">
      <c r="B94" s="14">
        <f t="shared" si="5"/>
        <v>-0.35999999999999499</v>
      </c>
      <c r="C94" s="13">
        <f t="shared" si="3"/>
        <v>0.37391060537312909</v>
      </c>
      <c r="D94" s="13">
        <f t="shared" si="4"/>
        <v>0.15829645385544666</v>
      </c>
    </row>
    <row r="95" spans="2:4" x14ac:dyDescent="0.3">
      <c r="B95" s="14">
        <f t="shared" si="5"/>
        <v>-0.27999999999999498</v>
      </c>
      <c r="C95" s="13">
        <f t="shared" si="3"/>
        <v>0.38360629215347908</v>
      </c>
      <c r="D95" s="13">
        <f t="shared" si="4"/>
        <v>0.16253113204204134</v>
      </c>
    </row>
    <row r="96" spans="2:4" x14ac:dyDescent="0.3">
      <c r="B96" s="14">
        <f t="shared" si="5"/>
        <v>-0.19999999999999496</v>
      </c>
      <c r="C96" s="13">
        <f t="shared" si="3"/>
        <v>0.39104269397545627</v>
      </c>
      <c r="D96" s="13">
        <f t="shared" si="4"/>
        <v>0.16661230144590009</v>
      </c>
    </row>
    <row r="97" spans="2:4" x14ac:dyDescent="0.3">
      <c r="B97" s="14">
        <f t="shared" si="5"/>
        <v>-0.11999999999999496</v>
      </c>
      <c r="C97" s="13">
        <f t="shared" si="3"/>
        <v>0.39608021179365632</v>
      </c>
      <c r="D97" s="13">
        <f t="shared" si="4"/>
        <v>0.17052289431517653</v>
      </c>
    </row>
    <row r="98" spans="2:4" x14ac:dyDescent="0.3">
      <c r="B98" s="14">
        <f t="shared" si="5"/>
        <v>-3.9999999999994956E-2</v>
      </c>
      <c r="C98" s="13">
        <f t="shared" si="3"/>
        <v>0.39862325420460509</v>
      </c>
      <c r="D98" s="13">
        <f t="shared" si="4"/>
        <v>0.17424625637948749</v>
      </c>
    </row>
    <row r="99" spans="2:4" x14ac:dyDescent="0.3">
      <c r="B99" s="14">
        <f t="shared" si="5"/>
        <v>4.0000000000005045E-2</v>
      </c>
      <c r="C99" s="13">
        <f t="shared" si="3"/>
        <v>0.39862325420460493</v>
      </c>
      <c r="D99" s="13">
        <f t="shared" si="4"/>
        <v>0.17776626425299877</v>
      </c>
    </row>
    <row r="100" spans="2:4" x14ac:dyDescent="0.3">
      <c r="B100" s="14">
        <f t="shared" si="5"/>
        <v>0.12000000000000505</v>
      </c>
      <c r="C100" s="13">
        <f t="shared" si="3"/>
        <v>0.39608021179365582</v>
      </c>
      <c r="D100" s="13">
        <f t="shared" si="4"/>
        <v>0.1810674412065463</v>
      </c>
    </row>
    <row r="101" spans="2:4" x14ac:dyDescent="0.3">
      <c r="B101" s="14">
        <f t="shared" si="5"/>
        <v>0.20000000000000506</v>
      </c>
      <c r="C101" s="13">
        <f t="shared" si="3"/>
        <v>0.39104269397545549</v>
      </c>
      <c r="D101" s="13">
        <f t="shared" si="4"/>
        <v>0.18413507015166186</v>
      </c>
    </row>
    <row r="102" spans="2:4" x14ac:dyDescent="0.3">
      <c r="B102" s="14">
        <f t="shared" si="5"/>
        <v>0.28000000000000508</v>
      </c>
      <c r="C102" s="13">
        <f t="shared" si="3"/>
        <v>0.38360629215347797</v>
      </c>
      <c r="D102" s="13">
        <f t="shared" si="4"/>
        <v>0.18695530268656435</v>
      </c>
    </row>
    <row r="103" spans="2:4" x14ac:dyDescent="0.3">
      <c r="B103" s="14">
        <f t="shared" si="5"/>
        <v>0.36000000000000509</v>
      </c>
      <c r="C103" s="13">
        <f t="shared" si="3"/>
        <v>0.3739106053731277</v>
      </c>
      <c r="D103" s="13">
        <f t="shared" si="4"/>
        <v>0.189515263076351</v>
      </c>
    </row>
    <row r="104" spans="2:4" x14ac:dyDescent="0.3">
      <c r="B104" s="14">
        <f t="shared" si="5"/>
        <v>0.44000000000000511</v>
      </c>
      <c r="C104" s="13">
        <f t="shared" si="3"/>
        <v>0.36213488241309144</v>
      </c>
      <c r="D104" s="13">
        <f t="shared" si="4"/>
        <v>0.1918031460767394</v>
      </c>
    </row>
    <row r="105" spans="2:4" x14ac:dyDescent="0.3">
      <c r="B105" s="14">
        <f t="shared" si="5"/>
        <v>0.52000000000000512</v>
      </c>
      <c r="C105" s="13">
        <f t="shared" si="3"/>
        <v>0.34849251275897358</v>
      </c>
      <c r="D105" s="13">
        <f t="shared" si="4"/>
        <v>0.19380830756250719</v>
      </c>
    </row>
    <row r="106" spans="2:4" x14ac:dyDescent="0.3">
      <c r="B106" s="14">
        <f t="shared" si="5"/>
        <v>0.60000000000000508</v>
      </c>
      <c r="C106" s="13">
        <f t="shared" si="3"/>
        <v>0.33322460289179862</v>
      </c>
      <c r="D106" s="13">
        <f t="shared" si="4"/>
        <v>0.19552134698772805</v>
      </c>
    </row>
    <row r="107" spans="2:4" x14ac:dyDescent="0.3">
      <c r="B107" s="14">
        <f t="shared" si="5"/>
        <v>0.68000000000000504</v>
      </c>
      <c r="C107" s="13">
        <f t="shared" si="3"/>
        <v>0.31659290771089171</v>
      </c>
      <c r="D107" s="13">
        <f t="shared" si="4"/>
        <v>0.1969341807842705</v>
      </c>
    </row>
    <row r="108" spans="2:4" x14ac:dyDescent="0.3">
      <c r="B108" s="14">
        <f t="shared" si="5"/>
        <v>0.760000000000005</v>
      </c>
      <c r="C108" s="13">
        <f t="shared" si="3"/>
        <v>0.29887240577595164</v>
      </c>
      <c r="D108" s="13">
        <f t="shared" si="4"/>
        <v>0.19804010589682811</v>
      </c>
    </row>
    <row r="109" spans="2:4" x14ac:dyDescent="0.3">
      <c r="B109" s="14">
        <f t="shared" si="5"/>
        <v>0.84000000000000496</v>
      </c>
      <c r="C109" s="13">
        <f t="shared" si="3"/>
        <v>0.2803438108396194</v>
      </c>
      <c r="D109" s="13">
        <f t="shared" si="4"/>
        <v>0.19883385275580448</v>
      </c>
    </row>
    <row r="110" spans="2:4" x14ac:dyDescent="0.3">
      <c r="B110" s="14">
        <f t="shared" si="5"/>
        <v>0.92000000000000492</v>
      </c>
      <c r="C110" s="13">
        <f t="shared" si="3"/>
        <v>0.26128630124955199</v>
      </c>
      <c r="D110" s="13">
        <f t="shared" si="4"/>
        <v>0.19931162710230252</v>
      </c>
    </row>
    <row r="111" spans="2:4" x14ac:dyDescent="0.3">
      <c r="B111" s="14">
        <f t="shared" si="5"/>
        <v>1.0000000000000049</v>
      </c>
      <c r="C111" s="13">
        <f t="shared" si="3"/>
        <v>0.24197072451914217</v>
      </c>
      <c r="D111" s="13">
        <f t="shared" si="4"/>
        <v>0.19947114020071635</v>
      </c>
    </row>
    <row r="112" spans="2:4" x14ac:dyDescent="0.3">
      <c r="B112" s="14">
        <f t="shared" si="5"/>
        <v>1.080000000000005</v>
      </c>
      <c r="C112" s="13">
        <f t="shared" si="3"/>
        <v>0.22265349875175994</v>
      </c>
      <c r="D112" s="13">
        <f t="shared" si="4"/>
        <v>0.19931162710230249</v>
      </c>
    </row>
    <row r="113" spans="2:4" x14ac:dyDescent="0.3">
      <c r="B113" s="14">
        <f t="shared" si="5"/>
        <v>1.160000000000005</v>
      </c>
      <c r="C113" s="13">
        <f t="shared" si="3"/>
        <v>0.20357138829075824</v>
      </c>
      <c r="D113" s="13">
        <f t="shared" si="4"/>
        <v>0.19883385275580442</v>
      </c>
    </row>
    <row r="114" spans="2:4" x14ac:dyDescent="0.3">
      <c r="B114" s="14">
        <f t="shared" si="5"/>
        <v>1.2400000000000051</v>
      </c>
      <c r="C114" s="13">
        <f t="shared" si="3"/>
        <v>0.18493728096330411</v>
      </c>
      <c r="D114" s="13">
        <f t="shared" si="4"/>
        <v>0.19804010589682799</v>
      </c>
    </row>
    <row r="115" spans="2:4" x14ac:dyDescent="0.3">
      <c r="B115" s="14">
        <f t="shared" si="5"/>
        <v>1.3200000000000052</v>
      </c>
      <c r="C115" s="13">
        <f t="shared" si="3"/>
        <v>0.16693704174171267</v>
      </c>
      <c r="D115" s="13">
        <f t="shared" si="4"/>
        <v>0.19693418078427033</v>
      </c>
    </row>
    <row r="116" spans="2:4" x14ac:dyDescent="0.3">
      <c r="B116" s="14">
        <f t="shared" si="5"/>
        <v>1.4000000000000052</v>
      </c>
      <c r="C116" s="13">
        <f t="shared" si="3"/>
        <v>0.14972746563574377</v>
      </c>
      <c r="D116" s="13">
        <f t="shared" si="4"/>
        <v>0.19552134698772786</v>
      </c>
    </row>
    <row r="117" spans="2:4" x14ac:dyDescent="0.3">
      <c r="B117" s="14">
        <f t="shared" si="5"/>
        <v>1.4800000000000053</v>
      </c>
      <c r="C117" s="13">
        <f t="shared" si="3"/>
        <v>0.13343530395100123</v>
      </c>
      <c r="D117" s="13">
        <f t="shared" si="4"/>
        <v>0.19380830756250694</v>
      </c>
    </row>
    <row r="118" spans="2:4" x14ac:dyDescent="0.3">
      <c r="B118" s="14">
        <f t="shared" si="5"/>
        <v>1.5600000000000054</v>
      </c>
      <c r="C118" s="13">
        <f t="shared" si="3"/>
        <v>0.11815729505958129</v>
      </c>
      <c r="D118" s="13">
        <f t="shared" si="4"/>
        <v>0.19180314607673912</v>
      </c>
    </row>
    <row r="119" spans="2:4" x14ac:dyDescent="0.3">
      <c r="B119" s="14">
        <f t="shared" si="5"/>
        <v>1.6400000000000055</v>
      </c>
      <c r="C119" s="13">
        <f t="shared" si="3"/>
        <v>0.10396109532876328</v>
      </c>
      <c r="D119" s="13">
        <f t="shared" si="4"/>
        <v>0.18951526307635069</v>
      </c>
    </row>
    <row r="120" spans="2:4" x14ac:dyDescent="0.3">
      <c r="B120" s="14">
        <f t="shared" si="5"/>
        <v>1.7200000000000055</v>
      </c>
      <c r="C120" s="13">
        <f t="shared" si="3"/>
        <v>9.088697901628201E-2</v>
      </c>
      <c r="D120" s="13">
        <f t="shared" si="4"/>
        <v>0.18695530268656402</v>
      </c>
    </row>
    <row r="121" spans="2:4" x14ac:dyDescent="0.3">
      <c r="B121" s="14">
        <f t="shared" si="5"/>
        <v>1.8000000000000056</v>
      </c>
      <c r="C121" s="13">
        <f t="shared" si="3"/>
        <v>7.8950158300893358E-2</v>
      </c>
      <c r="D121" s="13">
        <f t="shared" si="4"/>
        <v>0.18413507015166147</v>
      </c>
    </row>
    <row r="122" spans="2:4" x14ac:dyDescent="0.3">
      <c r="B122" s="14">
        <f t="shared" si="5"/>
        <v>1.8800000000000057</v>
      </c>
      <c r="C122" s="13">
        <f t="shared" si="3"/>
        <v>6.8143566101043843E-2</v>
      </c>
      <c r="D122" s="13">
        <f t="shared" si="4"/>
        <v>0.18106744120654589</v>
      </c>
    </row>
    <row r="123" spans="2:4" x14ac:dyDescent="0.3">
      <c r="B123" s="14">
        <f t="shared" si="5"/>
        <v>1.9600000000000057</v>
      </c>
      <c r="C123" s="13">
        <f t="shared" si="3"/>
        <v>5.844094433345081E-2</v>
      </c>
      <c r="D123" s="13">
        <f t="shared" si="4"/>
        <v>0.1777662642529983</v>
      </c>
    </row>
    <row r="124" spans="2:4" x14ac:dyDescent="0.3">
      <c r="B124" s="14">
        <f t="shared" si="5"/>
        <v>2.0400000000000058</v>
      </c>
      <c r="C124" s="13">
        <f t="shared" si="3"/>
        <v>4.9800087735070171E-2</v>
      </c>
      <c r="D124" s="13">
        <f t="shared" si="4"/>
        <v>0.17424625637948701</v>
      </c>
    </row>
    <row r="125" spans="2:4" x14ac:dyDescent="0.3">
      <c r="B125" s="14">
        <f t="shared" si="5"/>
        <v>2.1200000000000059</v>
      </c>
      <c r="C125" s="13">
        <f t="shared" si="3"/>
        <v>4.2166106961769804E-2</v>
      </c>
      <c r="D125" s="13">
        <f t="shared" si="4"/>
        <v>0.170522894315176</v>
      </c>
    </row>
    <row r="126" spans="2:4" x14ac:dyDescent="0.3">
      <c r="B126" s="14">
        <f t="shared" si="5"/>
        <v>2.200000000000006</v>
      </c>
      <c r="C126" s="13">
        <f t="shared" si="3"/>
        <v>3.5474592846230966E-2</v>
      </c>
      <c r="D126" s="13">
        <f t="shared" si="4"/>
        <v>0.16661230144589953</v>
      </c>
    </row>
    <row r="127" spans="2:4" x14ac:dyDescent="0.3">
      <c r="B127" s="14">
        <f t="shared" si="5"/>
        <v>2.280000000000006</v>
      </c>
      <c r="C127" s="13">
        <f t="shared" si="3"/>
        <v>2.9654584847340858E-2</v>
      </c>
      <c r="D127" s="13">
        <f t="shared" si="4"/>
        <v>0.16253113204204075</v>
      </c>
    </row>
    <row r="128" spans="2:4" x14ac:dyDescent="0.3">
      <c r="B128" s="14">
        <f t="shared" si="5"/>
        <v>2.3600000000000061</v>
      </c>
      <c r="C128" s="13">
        <f t="shared" si="3"/>
        <v>2.4631269306382146E-2</v>
      </c>
      <c r="D128" s="13">
        <f t="shared" si="4"/>
        <v>0.15829645385544608</v>
      </c>
    </row>
    <row r="129" spans="2:4" x14ac:dyDescent="0.3">
      <c r="B129" s="14">
        <f t="shared" si="5"/>
        <v>2.4400000000000062</v>
      </c>
      <c r="C129" s="13">
        <f t="shared" si="3"/>
        <v>2.0328355738225532E-2</v>
      </c>
      <c r="D129" s="13">
        <f t="shared" si="4"/>
        <v>0.15392563023492611</v>
      </c>
    </row>
    <row r="130" spans="2:4" x14ac:dyDescent="0.3">
      <c r="B130" s="14">
        <f t="shared" si="5"/>
        <v>2.5200000000000062</v>
      </c>
      <c r="C130" s="13">
        <f t="shared" si="3"/>
        <v>1.66701008373808E-2</v>
      </c>
      <c r="D130" s="13">
        <f t="shared" si="4"/>
        <v>0.14943620288797602</v>
      </c>
    </row>
    <row r="131" spans="2:4" x14ac:dyDescent="0.3">
      <c r="B131" s="14">
        <f t="shared" si="5"/>
        <v>2.6000000000000063</v>
      </c>
      <c r="C131" s="13">
        <f t="shared" si="3"/>
        <v>1.3582969233685398E-2</v>
      </c>
      <c r="D131" s="13">
        <f t="shared" si="4"/>
        <v>0.144845776380741</v>
      </c>
    </row>
    <row r="132" spans="2:4" x14ac:dyDescent="0.3">
      <c r="B132" s="14">
        <f t="shared" si="5"/>
        <v>2.6800000000000064</v>
      </c>
      <c r="C132" s="13">
        <f t="shared" si="3"/>
        <v>1.0996936629405391E-2</v>
      </c>
      <c r="D132" s="13">
        <f t="shared" si="4"/>
        <v>0.14017190541980989</v>
      </c>
    </row>
    <row r="133" spans="2:4" x14ac:dyDescent="0.3">
      <c r="B133" s="14">
        <f t="shared" si="5"/>
        <v>2.7600000000000064</v>
      </c>
      <c r="C133" s="13">
        <f t="shared" si="3"/>
        <v>8.846454398237065E-3</v>
      </c>
      <c r="D133" s="13">
        <f t="shared" si="4"/>
        <v>0.13543198589916863</v>
      </c>
    </row>
    <row r="134" spans="2:4" x14ac:dyDescent="0.3">
      <c r="B134" s="14">
        <f t="shared" si="5"/>
        <v>2.8400000000000065</v>
      </c>
      <c r="C134" s="13">
        <f t="shared" si="3"/>
        <v>7.0711048860193169E-3</v>
      </c>
      <c r="D134" s="13">
        <f t="shared" si="4"/>
        <v>0.13064315062477619</v>
      </c>
    </row>
    <row r="135" spans="2:4" x14ac:dyDescent="0.3">
      <c r="B135" s="14">
        <f t="shared" si="5"/>
        <v>2.9200000000000066</v>
      </c>
      <c r="C135" s="13">
        <f t="shared" si="3"/>
        <v>5.6159835959908588E-3</v>
      </c>
      <c r="D135" s="13">
        <f t="shared" si="4"/>
        <v>0.12582217054905817</v>
      </c>
    </row>
    <row r="136" spans="2:4" x14ac:dyDescent="0.3">
      <c r="B136" s="14">
        <f t="shared" si="5"/>
        <v>3.0000000000000067</v>
      </c>
      <c r="C136" s="13">
        <f t="shared" si="3"/>
        <v>4.4318484119379208E-3</v>
      </c>
      <c r="D136" s="13">
        <f t="shared" si="4"/>
        <v>0.12098536225957128</v>
      </c>
    </row>
    <row r="137" spans="2:4" x14ac:dyDescent="0.3">
      <c r="B137" s="14">
        <f t="shared" si="5"/>
        <v>3.0800000000000067</v>
      </c>
      <c r="C137" s="13">
        <f t="shared" si="3"/>
        <v>3.4750773778548637E-3</v>
      </c>
      <c r="D137" s="13">
        <f t="shared" si="4"/>
        <v>0.1161485023716827</v>
      </c>
    </row>
    <row r="138" spans="2:4" x14ac:dyDescent="0.3">
      <c r="B138" s="14">
        <f t="shared" si="5"/>
        <v>3.1600000000000068</v>
      </c>
      <c r="C138" s="13">
        <f t="shared" si="3"/>
        <v>2.7074757568406448E-3</v>
      </c>
      <c r="D138" s="13">
        <f t="shared" si="4"/>
        <v>0.11132674937588015</v>
      </c>
    </row>
    <row r="139" spans="2:4" x14ac:dyDescent="0.3">
      <c r="B139" s="14">
        <f t="shared" si="5"/>
        <v>3.2400000000000069</v>
      </c>
      <c r="C139" s="13">
        <f t="shared" ref="C139:C202" si="6">_xlfn.NORM.DIST($B139,muA,sigmaA,FALSE)</f>
        <v>2.0959706128578972E-3</v>
      </c>
      <c r="D139" s="13">
        <f t="shared" ref="D139:D202" si="7">_xlfn.NORM.DIST($B139,muB,sigmaB,FALSE)</f>
        <v>0.10653457338785852</v>
      </c>
    </row>
    <row r="140" spans="2:4" x14ac:dyDescent="0.3">
      <c r="B140" s="14">
        <f t="shared" si="5"/>
        <v>3.3200000000000069</v>
      </c>
      <c r="C140" s="13">
        <f t="shared" si="6"/>
        <v>1.6122274719770873E-3</v>
      </c>
      <c r="D140" s="13">
        <f t="shared" si="7"/>
        <v>0.1017856941453793</v>
      </c>
    </row>
    <row r="141" spans="2:4" x14ac:dyDescent="0.3">
      <c r="B141" s="14">
        <f t="shared" ref="B141:B204" si="8">B140+$A$12</f>
        <v>3.400000000000007</v>
      </c>
      <c r="C141" s="13">
        <f t="shared" si="6"/>
        <v>1.2322191684729894E-3</v>
      </c>
      <c r="D141" s="13">
        <f t="shared" si="7"/>
        <v>9.7093027491606074E-2</v>
      </c>
    </row>
    <row r="142" spans="2:4" x14ac:dyDescent="0.3">
      <c r="B142" s="14">
        <f t="shared" si="8"/>
        <v>3.4800000000000071</v>
      </c>
      <c r="C142" s="13">
        <f t="shared" si="6"/>
        <v>9.3577215692745635E-4</v>
      </c>
      <c r="D142" s="13">
        <f t="shared" si="7"/>
        <v>9.2468640481652251E-2</v>
      </c>
    </row>
    <row r="143" spans="2:4" x14ac:dyDescent="0.3">
      <c r="B143" s="14">
        <f t="shared" si="8"/>
        <v>3.5600000000000072</v>
      </c>
      <c r="C143" s="13">
        <f t="shared" si="6"/>
        <v>7.0611070048801864E-4</v>
      </c>
      <c r="D143" s="13">
        <f t="shared" si="7"/>
        <v>8.7923715148830781E-2</v>
      </c>
    </row>
    <row r="144" spans="2:4" x14ac:dyDescent="0.3">
      <c r="B144" s="14">
        <f t="shared" si="8"/>
        <v>3.6400000000000072</v>
      </c>
      <c r="C144" s="13">
        <f t="shared" si="6"/>
        <v>5.2941468309492098E-4</v>
      </c>
      <c r="D144" s="13">
        <f t="shared" si="7"/>
        <v>8.3468520870856516E-2</v>
      </c>
    </row>
    <row r="145" spans="2:4" x14ac:dyDescent="0.3">
      <c r="B145" s="14">
        <f t="shared" si="8"/>
        <v>3.7200000000000073</v>
      </c>
      <c r="C145" s="13">
        <f t="shared" si="6"/>
        <v>3.9440252496914576E-4</v>
      </c>
      <c r="D145" s="13">
        <f t="shared" si="7"/>
        <v>7.9112395185191128E-2</v>
      </c>
    </row>
    <row r="146" spans="2:4" x14ac:dyDescent="0.3">
      <c r="B146" s="14">
        <f t="shared" si="8"/>
        <v>3.8000000000000074</v>
      </c>
      <c r="C146" s="13">
        <f t="shared" si="6"/>
        <v>2.9194692579145198E-4</v>
      </c>
      <c r="D146" s="13">
        <f t="shared" si="7"/>
        <v>7.4863732817872036E-2</v>
      </c>
    </row>
    <row r="147" spans="2:4" x14ac:dyDescent="0.3">
      <c r="B147" s="14">
        <f t="shared" si="8"/>
        <v>3.8800000000000074</v>
      </c>
      <c r="C147" s="13">
        <f t="shared" si="6"/>
        <v>2.1472798150036073E-4</v>
      </c>
      <c r="D147" s="13">
        <f t="shared" si="7"/>
        <v>7.0729982612419015E-2</v>
      </c>
    </row>
    <row r="148" spans="2:4" x14ac:dyDescent="0.3">
      <c r="B148" s="14">
        <f t="shared" si="8"/>
        <v>3.9600000000000075</v>
      </c>
      <c r="C148" s="13">
        <f t="shared" si="6"/>
        <v>1.5692563406552752E-4</v>
      </c>
      <c r="D148" s="13">
        <f t="shared" si="7"/>
        <v>6.671765197550078E-2</v>
      </c>
    </row>
    <row r="149" spans="2:4" x14ac:dyDescent="0.3">
      <c r="B149" s="14">
        <f t="shared" si="8"/>
        <v>4.0400000000000071</v>
      </c>
      <c r="C149" s="13">
        <f t="shared" si="6"/>
        <v>1.1395139806886138E-4</v>
      </c>
      <c r="D149" s="13">
        <f t="shared" si="7"/>
        <v>6.2832318394543743E-2</v>
      </c>
    </row>
    <row r="150" spans="2:4" x14ac:dyDescent="0.3">
      <c r="B150" s="14">
        <f t="shared" si="8"/>
        <v>4.1200000000000072</v>
      </c>
      <c r="C150" s="13">
        <f t="shared" si="6"/>
        <v>8.2217816536283509E-5</v>
      </c>
      <c r="D150" s="13">
        <f t="shared" si="7"/>
        <v>5.90786475297908E-2</v>
      </c>
    </row>
    <row r="151" spans="2:4" x14ac:dyDescent="0.3">
      <c r="B151" s="14">
        <f t="shared" si="8"/>
        <v>4.2000000000000073</v>
      </c>
      <c r="C151" s="13">
        <f t="shared" si="6"/>
        <v>5.8943067756538066E-5</v>
      </c>
      <c r="D151" s="13">
        <f t="shared" si="7"/>
        <v>5.5460417339727459E-2</v>
      </c>
    </row>
    <row r="152" spans="2:4" x14ac:dyDescent="0.3">
      <c r="B152" s="14">
        <f t="shared" si="8"/>
        <v>4.2800000000000074</v>
      </c>
      <c r="C152" s="13">
        <f t="shared" si="6"/>
        <v>4.198750293161598E-5</v>
      </c>
      <c r="D152" s="13">
        <f t="shared" si="7"/>
        <v>5.1980547664381788E-2</v>
      </c>
    </row>
    <row r="153" spans="2:4" x14ac:dyDescent="0.3">
      <c r="B153" s="14">
        <f t="shared" si="8"/>
        <v>4.3600000000000074</v>
      </c>
      <c r="C153" s="13">
        <f t="shared" si="6"/>
        <v>2.971856767644125E-5</v>
      </c>
      <c r="D153" s="13">
        <f t="shared" si="7"/>
        <v>4.864113466573345E-2</v>
      </c>
    </row>
    <row r="154" spans="2:4" x14ac:dyDescent="0.3">
      <c r="B154" s="14">
        <f t="shared" si="8"/>
        <v>4.4400000000000075</v>
      </c>
      <c r="C154" s="13">
        <f t="shared" si="6"/>
        <v>2.090047790044974E-5</v>
      </c>
      <c r="D154" s="13">
        <f t="shared" si="7"/>
        <v>4.544348950814113E-2</v>
      </c>
    </row>
    <row r="155" spans="2:4" x14ac:dyDescent="0.3">
      <c r="B155" s="14">
        <f t="shared" si="8"/>
        <v>4.5200000000000076</v>
      </c>
      <c r="C155" s="13">
        <f t="shared" si="6"/>
        <v>1.4605118139152395E-5</v>
      </c>
      <c r="D155" s="13">
        <f t="shared" si="7"/>
        <v>4.2388180654010836E-2</v>
      </c>
    </row>
    <row r="156" spans="2:4" x14ac:dyDescent="0.3">
      <c r="B156" s="14">
        <f t="shared" si="8"/>
        <v>4.6000000000000076</v>
      </c>
      <c r="C156" s="13">
        <f t="shared" si="6"/>
        <v>1.0140852065486381E-5</v>
      </c>
      <c r="D156" s="13">
        <f t="shared" si="7"/>
        <v>3.9475079150446818E-2</v>
      </c>
    </row>
    <row r="157" spans="2:4" x14ac:dyDescent="0.3">
      <c r="B157" s="14">
        <f t="shared" si="8"/>
        <v>4.6800000000000077</v>
      </c>
      <c r="C157" s="13">
        <f t="shared" si="6"/>
        <v>6.9962341432701441E-6</v>
      </c>
      <c r="D157" s="13">
        <f t="shared" si="7"/>
        <v>3.6703406290828182E-2</v>
      </c>
    </row>
    <row r="158" spans="2:4" x14ac:dyDescent="0.3">
      <c r="B158" s="14">
        <f t="shared" si="8"/>
        <v>4.7600000000000078</v>
      </c>
      <c r="C158" s="13">
        <f t="shared" si="6"/>
        <v>4.7959510215523421E-6</v>
      </c>
      <c r="D158" s="13">
        <f t="shared" si="7"/>
        <v>3.4071783050522046E-2</v>
      </c>
    </row>
    <row r="159" spans="2:4" x14ac:dyDescent="0.3">
      <c r="B159" s="14">
        <f t="shared" si="8"/>
        <v>4.8400000000000079</v>
      </c>
      <c r="C159" s="13">
        <f t="shared" si="6"/>
        <v>3.2666729639931473E-6</v>
      </c>
      <c r="D159" s="13">
        <f t="shared" si="7"/>
        <v>3.1578280717599091E-2</v>
      </c>
    </row>
    <row r="160" spans="2:4" x14ac:dyDescent="0.3">
      <c r="B160" s="14">
        <f t="shared" si="8"/>
        <v>4.9200000000000079</v>
      </c>
      <c r="C160" s="13">
        <f t="shared" si="6"/>
        <v>2.2108388745683348E-6</v>
      </c>
      <c r="D160" s="13">
        <f t="shared" si="7"/>
        <v>2.9220472166725502E-2</v>
      </c>
    </row>
    <row r="161" spans="2:4" x14ac:dyDescent="0.3">
      <c r="B161" s="14">
        <f t="shared" si="8"/>
        <v>5.000000000000008</v>
      </c>
      <c r="C161" s="13">
        <f t="shared" si="6"/>
        <v>1.4867195147342397E-6</v>
      </c>
      <c r="D161" s="13">
        <f t="shared" si="7"/>
        <v>2.6995483256593813E-2</v>
      </c>
    </row>
    <row r="162" spans="2:4" x14ac:dyDescent="0.3">
      <c r="B162" s="14">
        <f t="shared" si="8"/>
        <v>5.0800000000000081</v>
      </c>
      <c r="C162" s="13">
        <f t="shared" si="6"/>
        <v>9.9339394133987137E-7</v>
      </c>
      <c r="D162" s="13">
        <f t="shared" si="7"/>
        <v>2.4900043867535176E-2</v>
      </c>
    </row>
    <row r="163" spans="2:4" x14ac:dyDescent="0.3">
      <c r="B163" s="14">
        <f t="shared" si="8"/>
        <v>5.1600000000000081</v>
      </c>
      <c r="C163" s="13">
        <f t="shared" si="6"/>
        <v>6.5952989685749467E-7</v>
      </c>
      <c r="D163" s="13">
        <f t="shared" si="7"/>
        <v>2.2930538135527249E-2</v>
      </c>
    </row>
    <row r="164" spans="2:4" x14ac:dyDescent="0.3">
      <c r="B164" s="14">
        <f t="shared" si="8"/>
        <v>5.2400000000000082</v>
      </c>
      <c r="C164" s="13">
        <f t="shared" si="6"/>
        <v>4.3507886075149313E-7</v>
      </c>
      <c r="D164" s="13">
        <f t="shared" si="7"/>
        <v>2.1083053480884975E-2</v>
      </c>
    </row>
    <row r="165" spans="2:4" x14ac:dyDescent="0.3">
      <c r="B165" s="14">
        <f t="shared" si="8"/>
        <v>5.3200000000000083</v>
      </c>
      <c r="C165" s="13">
        <f t="shared" si="6"/>
        <v>2.8518192322838544E-7</v>
      </c>
      <c r="D165" s="13">
        <f t="shared" si="7"/>
        <v>1.9353428073727631E-2</v>
      </c>
    </row>
    <row r="166" spans="2:4" x14ac:dyDescent="0.3">
      <c r="B166" s="14">
        <f t="shared" si="8"/>
        <v>5.4000000000000083</v>
      </c>
      <c r="C166" s="13">
        <f t="shared" si="6"/>
        <v>1.8573618445552105E-7</v>
      </c>
      <c r="D166" s="13">
        <f t="shared" si="7"/>
        <v>1.7737296423115553E-2</v>
      </c>
    </row>
    <row r="167" spans="2:4" x14ac:dyDescent="0.3">
      <c r="B167" s="14">
        <f t="shared" si="8"/>
        <v>5.4800000000000084</v>
      </c>
      <c r="C167" s="13">
        <f t="shared" si="6"/>
        <v>1.2019642790627696E-7</v>
      </c>
      <c r="D167" s="13">
        <f t="shared" si="7"/>
        <v>1.6230132821848577E-2</v>
      </c>
    </row>
    <row r="168" spans="2:4" x14ac:dyDescent="0.3">
      <c r="B168" s="14">
        <f t="shared" si="8"/>
        <v>5.5600000000000085</v>
      </c>
      <c r="C168" s="13">
        <f t="shared" si="6"/>
        <v>7.7287118885225359E-8</v>
      </c>
      <c r="D168" s="13">
        <f t="shared" si="7"/>
        <v>1.4827292423670495E-2</v>
      </c>
    </row>
    <row r="169" spans="2:4" x14ac:dyDescent="0.3">
      <c r="B169" s="14">
        <f t="shared" si="8"/>
        <v>5.6400000000000086</v>
      </c>
      <c r="C169" s="13">
        <f t="shared" si="6"/>
        <v>4.9379102271102028E-8</v>
      </c>
      <c r="D169" s="13">
        <f t="shared" si="7"/>
        <v>1.3524049773440756E-2</v>
      </c>
    </row>
    <row r="170" spans="2:4" x14ac:dyDescent="0.3">
      <c r="B170" s="14">
        <f t="shared" si="8"/>
        <v>5.7200000000000086</v>
      </c>
      <c r="C170" s="13">
        <f t="shared" si="6"/>
        <v>3.1347273817918122E-8</v>
      </c>
      <c r="D170" s="13">
        <f t="shared" si="7"/>
        <v>1.2315634653191122E-2</v>
      </c>
    </row>
    <row r="171" spans="2:4" x14ac:dyDescent="0.3">
      <c r="B171" s="14">
        <f t="shared" si="8"/>
        <v>5.8000000000000087</v>
      </c>
      <c r="C171" s="13">
        <f t="shared" si="6"/>
        <v>1.9773196406243689E-8</v>
      </c>
      <c r="D171" s="13">
        <f t="shared" si="7"/>
        <v>1.119726514742133E-2</v>
      </c>
    </row>
    <row r="172" spans="2:4" x14ac:dyDescent="0.3">
      <c r="B172" s="14">
        <f t="shared" si="8"/>
        <v>5.8800000000000088</v>
      </c>
      <c r="C172" s="13">
        <f t="shared" si="6"/>
        <v>1.2392944314149468E-8</v>
      </c>
      <c r="D172" s="13">
        <f t="shared" si="7"/>
        <v>1.0164177869112809E-2</v>
      </c>
    </row>
    <row r="173" spans="2:4" x14ac:dyDescent="0.3">
      <c r="B173" s="14">
        <f t="shared" si="8"/>
        <v>5.9600000000000088</v>
      </c>
      <c r="C173" s="13">
        <f t="shared" si="6"/>
        <v>7.7177842125701169E-9</v>
      </c>
      <c r="D173" s="13">
        <f t="shared" si="7"/>
        <v>9.2116553234309253E-3</v>
      </c>
    </row>
    <row r="174" spans="2:4" x14ac:dyDescent="0.3">
      <c r="B174" s="14">
        <f t="shared" si="8"/>
        <v>6.0400000000000089</v>
      </c>
      <c r="C174" s="13">
        <f t="shared" si="6"/>
        <v>4.7756366922820211E-9</v>
      </c>
      <c r="D174" s="13">
        <f t="shared" si="7"/>
        <v>8.3350504186904349E-3</v>
      </c>
    </row>
    <row r="175" spans="2:4" x14ac:dyDescent="0.3">
      <c r="B175" s="14">
        <f t="shared" si="8"/>
        <v>6.120000000000009</v>
      </c>
      <c r="C175" s="13">
        <f t="shared" si="6"/>
        <v>2.9362325198237642E-9</v>
      </c>
      <c r="D175" s="13">
        <f t="shared" si="7"/>
        <v>7.5298081636886388E-3</v>
      </c>
    </row>
    <row r="176" spans="2:4" x14ac:dyDescent="0.3">
      <c r="B176" s="14">
        <f t="shared" si="8"/>
        <v>6.2000000000000091</v>
      </c>
      <c r="C176" s="13">
        <f t="shared" si="6"/>
        <v>1.7937839079639841E-9</v>
      </c>
      <c r="D176" s="13">
        <f t="shared" si="7"/>
        <v>6.7914846168427275E-3</v>
      </c>
    </row>
    <row r="177" spans="2:4" x14ac:dyDescent="0.3">
      <c r="B177" s="14">
        <f t="shared" si="8"/>
        <v>6.2800000000000091</v>
      </c>
      <c r="C177" s="13">
        <f t="shared" si="6"/>
        <v>1.088855673277002E-9</v>
      </c>
      <c r="D177" s="13">
        <f t="shared" si="7"/>
        <v>6.1157631756389146E-3</v>
      </c>
    </row>
    <row r="178" spans="2:4" x14ac:dyDescent="0.3">
      <c r="B178" s="14">
        <f t="shared" si="8"/>
        <v>6.3600000000000092</v>
      </c>
      <c r="C178" s="13">
        <f t="shared" si="6"/>
        <v>6.5673630963607057E-10</v>
      </c>
      <c r="D178" s="13">
        <f t="shared" si="7"/>
        <v>5.4984683147027225E-3</v>
      </c>
    </row>
    <row r="179" spans="2:4" x14ac:dyDescent="0.3">
      <c r="B179" s="14">
        <f t="shared" si="8"/>
        <v>6.4400000000000093</v>
      </c>
      <c r="C179" s="13">
        <f t="shared" si="6"/>
        <v>3.935793040901202E-10</v>
      </c>
      <c r="D179" s="13">
        <f t="shared" si="7"/>
        <v>4.9355768973755069E-3</v>
      </c>
    </row>
    <row r="180" spans="2:4" x14ac:dyDescent="0.3">
      <c r="B180" s="14">
        <f t="shared" si="8"/>
        <v>6.5200000000000093</v>
      </c>
      <c r="C180" s="13">
        <f t="shared" si="6"/>
        <v>2.3436566877930577E-10</v>
      </c>
      <c r="D180" s="13">
        <f t="shared" si="7"/>
        <v>4.423227199118555E-3</v>
      </c>
    </row>
    <row r="181" spans="2:4" x14ac:dyDescent="0.3">
      <c r="B181" s="14">
        <f t="shared" si="8"/>
        <v>6.6000000000000094</v>
      </c>
      <c r="C181" s="13">
        <f t="shared" si="6"/>
        <v>1.3866799941652283E-10</v>
      </c>
      <c r="D181" s="13">
        <f t="shared" si="7"/>
        <v>3.9577257914899296E-3</v>
      </c>
    </row>
    <row r="182" spans="2:4" x14ac:dyDescent="0.3">
      <c r="B182" s="14">
        <f t="shared" si="8"/>
        <v>6.6800000000000095</v>
      </c>
      <c r="C182" s="13">
        <f t="shared" si="6"/>
        <v>8.152278752699543E-11</v>
      </c>
      <c r="D182" s="13">
        <f t="shared" si="7"/>
        <v>3.5355524430096771E-3</v>
      </c>
    </row>
    <row r="183" spans="2:4" x14ac:dyDescent="0.3">
      <c r="B183" s="14">
        <f t="shared" si="8"/>
        <v>6.7600000000000096</v>
      </c>
      <c r="C183" s="13">
        <f t="shared" si="6"/>
        <v>4.7621416319153522E-11</v>
      </c>
      <c r="D183" s="13">
        <f t="shared" si="7"/>
        <v>3.1533631981329191E-3</v>
      </c>
    </row>
    <row r="184" spans="2:4" x14ac:dyDescent="0.3">
      <c r="B184" s="14">
        <f t="shared" si="8"/>
        <v>6.8400000000000096</v>
      </c>
      <c r="C184" s="13">
        <f t="shared" si="6"/>
        <v>2.7640513661677676E-11</v>
      </c>
      <c r="D184" s="13">
        <f t="shared" si="7"/>
        <v>2.8079917979954446E-3</v>
      </c>
    </row>
    <row r="185" spans="2:4" x14ac:dyDescent="0.3">
      <c r="B185" s="14">
        <f t="shared" si="8"/>
        <v>6.9200000000000097</v>
      </c>
      <c r="C185" s="13">
        <f t="shared" si="6"/>
        <v>1.594081151588281E-11</v>
      </c>
      <c r="D185" s="13">
        <f t="shared" si="7"/>
        <v>2.4964496068061526E-3</v>
      </c>
    </row>
    <row r="186" spans="2:4" x14ac:dyDescent="0.3">
      <c r="B186" s="14">
        <f t="shared" si="8"/>
        <v>7.0000000000000098</v>
      </c>
      <c r="C186" s="13">
        <f t="shared" si="6"/>
        <v>9.1347204083639765E-12</v>
      </c>
      <c r="D186" s="13">
        <f t="shared" si="7"/>
        <v>2.2159242059689721E-3</v>
      </c>
    </row>
    <row r="187" spans="2:4" x14ac:dyDescent="0.3">
      <c r="B187" s="14">
        <f t="shared" si="8"/>
        <v>7.0800000000000098</v>
      </c>
      <c r="C187" s="13">
        <f t="shared" si="6"/>
        <v>5.20116470752682E-12</v>
      </c>
      <c r="D187" s="13">
        <f t="shared" si="7"/>
        <v>1.9637768144623599E-3</v>
      </c>
    </row>
    <row r="188" spans="2:4" x14ac:dyDescent="0.3">
      <c r="B188" s="14">
        <f t="shared" si="8"/>
        <v>7.1600000000000099</v>
      </c>
      <c r="C188" s="13">
        <f t="shared" si="6"/>
        <v>2.9425677446964943E-12</v>
      </c>
      <c r="D188" s="13">
        <f t="shared" si="7"/>
        <v>1.7375386889274429E-3</v>
      </c>
    </row>
    <row r="189" spans="2:4" x14ac:dyDescent="0.3">
      <c r="B189" s="14">
        <f t="shared" si="8"/>
        <v>7.24000000000001</v>
      </c>
      <c r="C189" s="13">
        <f t="shared" si="6"/>
        <v>1.6541422271609854E-12</v>
      </c>
      <c r="D189" s="13">
        <f t="shared" si="7"/>
        <v>1.534906650552347E-3</v>
      </c>
    </row>
    <row r="190" spans="2:4" x14ac:dyDescent="0.3">
      <c r="B190" s="14">
        <f t="shared" si="8"/>
        <v>7.3200000000000101</v>
      </c>
      <c r="C190" s="13">
        <f t="shared" si="6"/>
        <v>9.2393143256359462E-13</v>
      </c>
      <c r="D190" s="13">
        <f t="shared" si="7"/>
        <v>1.3537378784203296E-3</v>
      </c>
    </row>
    <row r="191" spans="2:4" x14ac:dyDescent="0.3">
      <c r="B191" s="14">
        <f t="shared" si="8"/>
        <v>7.4000000000000101</v>
      </c>
      <c r="C191" s="13">
        <f t="shared" si="6"/>
        <v>5.1277536367962984E-13</v>
      </c>
      <c r="D191" s="13">
        <f t="shared" si="7"/>
        <v>1.1920441007324022E-3</v>
      </c>
    </row>
    <row r="192" spans="2:4" x14ac:dyDescent="0.3">
      <c r="B192" s="14">
        <f t="shared" si="8"/>
        <v>7.4800000000000102</v>
      </c>
      <c r="C192" s="13">
        <f t="shared" si="6"/>
        <v>2.8277113542206153E-13</v>
      </c>
      <c r="D192" s="13">
        <f t="shared" si="7"/>
        <v>1.0479853064289551E-3</v>
      </c>
    </row>
    <row r="193" spans="2:4" x14ac:dyDescent="0.3">
      <c r="B193" s="14">
        <f t="shared" si="8"/>
        <v>7.5600000000000103</v>
      </c>
      <c r="C193" s="13">
        <f t="shared" si="6"/>
        <v>1.5493998706284821E-13</v>
      </c>
      <c r="D193" s="13">
        <f t="shared" si="7"/>
        <v>9.1986309041212412E-4</v>
      </c>
    </row>
    <row r="194" spans="2:4" x14ac:dyDescent="0.3">
      <c r="B194" s="14">
        <f t="shared" si="8"/>
        <v>7.6400000000000103</v>
      </c>
      <c r="C194" s="13">
        <f t="shared" si="6"/>
        <v>8.4355318664098694E-14</v>
      </c>
      <c r="D194" s="13">
        <f t="shared" si="7"/>
        <v>8.06113735988548E-4</v>
      </c>
    </row>
    <row r="195" spans="2:4" x14ac:dyDescent="0.3">
      <c r="B195" s="14">
        <f t="shared" si="8"/>
        <v>7.7200000000000104</v>
      </c>
      <c r="C195" s="13">
        <f t="shared" si="6"/>
        <v>4.5633306778375222E-14</v>
      </c>
      <c r="D195" s="13">
        <f t="shared" si="7"/>
        <v>7.0530112847067927E-4</v>
      </c>
    </row>
    <row r="196" spans="2:4" x14ac:dyDescent="0.3">
      <c r="B196" s="14">
        <f t="shared" si="8"/>
        <v>7.8000000000000105</v>
      </c>
      <c r="C196" s="13">
        <f t="shared" si="6"/>
        <v>2.4528552856962235E-14</v>
      </c>
      <c r="D196" s="13">
        <f t="shared" si="7"/>
        <v>6.1610958423649847E-4</v>
      </c>
    </row>
    <row r="197" spans="2:4" x14ac:dyDescent="0.3">
      <c r="B197" s="14">
        <f t="shared" si="8"/>
        <v>7.8800000000000106</v>
      </c>
      <c r="C197" s="13">
        <f t="shared" si="6"/>
        <v>1.3100335776937822E-14</v>
      </c>
      <c r="D197" s="13">
        <f t="shared" si="7"/>
        <v>5.3733667007685774E-4</v>
      </c>
    </row>
    <row r="198" spans="2:4" x14ac:dyDescent="0.3">
      <c r="B198" s="14">
        <f t="shared" si="8"/>
        <v>7.9600000000000106</v>
      </c>
      <c r="C198" s="13">
        <f t="shared" si="6"/>
        <v>6.9520589097098071E-15</v>
      </c>
      <c r="D198" s="13">
        <f t="shared" si="7"/>
        <v>4.6788607846373116E-4</v>
      </c>
    </row>
    <row r="199" spans="2:4" x14ac:dyDescent="0.3">
      <c r="B199" s="14">
        <f t="shared" si="8"/>
        <v>8.0400000000000098</v>
      </c>
      <c r="C199" s="13">
        <f t="shared" si="6"/>
        <v>3.6657679945909811E-15</v>
      </c>
      <c r="D199" s="13">
        <f t="shared" si="7"/>
        <v>4.0676061554089694E-4</v>
      </c>
    </row>
    <row r="200" spans="2:4" x14ac:dyDescent="0.3">
      <c r="B200" s="14">
        <f t="shared" si="8"/>
        <v>8.1200000000000099</v>
      </c>
      <c r="C200" s="13">
        <f t="shared" si="6"/>
        <v>1.9206004311443907E-15</v>
      </c>
      <c r="D200" s="13">
        <f t="shared" si="7"/>
        <v>3.5305535024401181E-4</v>
      </c>
    </row>
    <row r="201" spans="2:4" x14ac:dyDescent="0.3">
      <c r="B201" s="14">
        <f t="shared" si="8"/>
        <v>8.2000000000000099</v>
      </c>
      <c r="C201" s="13">
        <f t="shared" si="6"/>
        <v>9.9983787484963254E-16</v>
      </c>
      <c r="D201" s="13">
        <f t="shared" si="7"/>
        <v>3.0595096505688053E-4</v>
      </c>
    </row>
    <row r="202" spans="2:4" x14ac:dyDescent="0.3">
      <c r="B202" s="14">
        <f t="shared" si="8"/>
        <v>8.28000000000001</v>
      </c>
      <c r="C202" s="13">
        <f t="shared" si="6"/>
        <v>5.1718111933301017E-16</v>
      </c>
      <c r="D202" s="13">
        <f t="shared" si="7"/>
        <v>2.6470734154746266E-4</v>
      </c>
    </row>
    <row r="203" spans="2:4" x14ac:dyDescent="0.3">
      <c r="B203" s="14">
        <f t="shared" si="8"/>
        <v>8.3600000000000101</v>
      </c>
      <c r="C203" s="13">
        <f t="shared" ref="C203:C211" si="9">_xlfn.NORM.DIST($B203,muA,sigmaA,FALSE)</f>
        <v>2.6581302303291584E-16</v>
      </c>
      <c r="D203" s="13">
        <f t="shared" ref="D203:D211" si="10">_xlfn.NORM.DIST($B203,muB,sigmaB,FALSE)</f>
        <v>2.2865740702992415E-4</v>
      </c>
    </row>
    <row r="204" spans="2:4" x14ac:dyDescent="0.3">
      <c r="B204" s="14">
        <f t="shared" si="8"/>
        <v>8.4400000000000102</v>
      </c>
      <c r="C204" s="13">
        <f t="shared" si="9"/>
        <v>1.357470382217088E-16</v>
      </c>
      <c r="D204" s="13">
        <f t="shared" si="10"/>
        <v>1.9720126248457461E-4</v>
      </c>
    </row>
    <row r="205" spans="2:4" x14ac:dyDescent="0.3">
      <c r="B205" s="14">
        <f t="shared" ref="B205:B210" si="11">B204+$A$12</f>
        <v>8.5200000000000102</v>
      </c>
      <c r="C205" s="13">
        <f t="shared" si="9"/>
        <v>6.8881879111195821E-17</v>
      </c>
      <c r="D205" s="13">
        <f t="shared" si="10"/>
        <v>1.6980060624182408E-4</v>
      </c>
    </row>
    <row r="206" spans="2:4" x14ac:dyDescent="0.3">
      <c r="B206" s="14">
        <f t="shared" si="11"/>
        <v>8.6000000000000103</v>
      </c>
      <c r="C206" s="13">
        <f t="shared" si="9"/>
        <v>3.4729627485658871E-17</v>
      </c>
      <c r="D206" s="13">
        <f t="shared" si="10"/>
        <v>1.4597346289572729E-4</v>
      </c>
    </row>
    <row r="207" spans="2:4" x14ac:dyDescent="0.3">
      <c r="B207" s="14">
        <f t="shared" si="11"/>
        <v>8.6800000000000104</v>
      </c>
      <c r="C207" s="13">
        <f t="shared" si="9"/>
        <v>1.7398659111404616E-17</v>
      </c>
      <c r="D207" s="13">
        <f t="shared" si="10"/>
        <v>1.2528922244542783E-4</v>
      </c>
    </row>
    <row r="208" spans="2:4" x14ac:dyDescent="0.3">
      <c r="B208" s="14">
        <f t="shared" si="11"/>
        <v>8.7600000000000104</v>
      </c>
      <c r="C208" s="13">
        <f t="shared" si="9"/>
        <v>8.6606791274923575E-18</v>
      </c>
      <c r="D208" s="13">
        <f t="shared" si="10"/>
        <v>1.0736399075018131E-4</v>
      </c>
    </row>
    <row r="209" spans="2:4" x14ac:dyDescent="0.3">
      <c r="B209" s="14">
        <f t="shared" si="11"/>
        <v>8.8400000000000105</v>
      </c>
      <c r="C209" s="13">
        <f t="shared" si="9"/>
        <v>4.2835972719622515E-18</v>
      </c>
      <c r="D209" s="13">
        <f t="shared" si="10"/>
        <v>9.1856249001226589E-5</v>
      </c>
    </row>
    <row r="210" spans="2:4" x14ac:dyDescent="0.3">
      <c r="B210" s="14">
        <f t="shared" si="11"/>
        <v>8.9200000000000106</v>
      </c>
      <c r="C210" s="13">
        <f t="shared" si="9"/>
        <v>2.1051635091806506E-18</v>
      </c>
      <c r="D210" s="13">
        <f t="shared" si="10"/>
        <v>7.8462817032764451E-5</v>
      </c>
    </row>
    <row r="211" spans="2:4" x14ac:dyDescent="0.3">
      <c r="B211" s="14">
        <f>MAX(muA+(4*sigmaA),muB+(4*sigmaB))</f>
        <v>9</v>
      </c>
      <c r="C211" s="13">
        <f t="shared" si="9"/>
        <v>1.0279773571668917E-18</v>
      </c>
      <c r="D211" s="13">
        <f t="shared" si="10"/>
        <v>6.6915112882442684E-5</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73D42-61A2-408F-B922-CC3F2D7AA70F}">
  <sheetPr codeName="Sheet6"/>
  <dimension ref="A1:P215"/>
  <sheetViews>
    <sheetView zoomScale="80" zoomScaleNormal="80" workbookViewId="0">
      <selection activeCell="D16" sqref="D16"/>
    </sheetView>
  </sheetViews>
  <sheetFormatPr defaultColWidth="8.6640625" defaultRowHeight="14.4" x14ac:dyDescent="0.3"/>
  <cols>
    <col min="1" max="1" width="8.6640625" style="2"/>
    <col min="2" max="2" width="16.88671875" style="2" customWidth="1"/>
    <col min="3" max="4" width="10.44140625" style="2" customWidth="1"/>
    <col min="5" max="5" width="9.88671875" style="2" customWidth="1"/>
    <col min="6" max="18" width="8.6640625" style="2"/>
    <col min="19" max="20" width="12" style="2" bestFit="1" customWidth="1"/>
    <col min="21" max="16384" width="8.6640625" style="2"/>
  </cols>
  <sheetData>
    <row r="1" spans="1:16" s="37" customFormat="1" ht="25.8" x14ac:dyDescent="0.5">
      <c r="A1" s="37" t="s">
        <v>37</v>
      </c>
    </row>
    <row r="2" spans="1:16" s="1" customFormat="1" x14ac:dyDescent="0.3"/>
    <row r="3" spans="1:16" x14ac:dyDescent="0.3">
      <c r="P3" s="56">
        <v>0</v>
      </c>
    </row>
    <row r="4" spans="1:16" x14ac:dyDescent="0.3">
      <c r="B4" s="19"/>
      <c r="C4" s="20" t="s">
        <v>6</v>
      </c>
      <c r="D4" s="20" t="s">
        <v>7</v>
      </c>
      <c r="E4" s="52" t="s">
        <v>30</v>
      </c>
      <c r="G4" s="53" t="s">
        <v>43</v>
      </c>
      <c r="H4" s="54"/>
    </row>
    <row r="5" spans="1:16" x14ac:dyDescent="0.3">
      <c r="B5" s="22" t="s">
        <v>44</v>
      </c>
      <c r="C5" s="6"/>
      <c r="D5" s="6"/>
      <c r="E5" s="24">
        <v>0.5</v>
      </c>
      <c r="G5" s="17">
        <f>sigmaA^2</f>
        <v>1</v>
      </c>
      <c r="H5" s="17">
        <f>G6</f>
        <v>1</v>
      </c>
    </row>
    <row r="6" spans="1:16" x14ac:dyDescent="0.3">
      <c r="B6" s="22" t="s">
        <v>1</v>
      </c>
      <c r="C6" s="23">
        <v>0</v>
      </c>
      <c r="D6" s="23">
        <v>1</v>
      </c>
      <c r="E6" s="17">
        <f>(muA*C12)+(muB*D12)</f>
        <v>0.5</v>
      </c>
      <c r="G6" s="17">
        <f>correl*sigmaA*sigmaB</f>
        <v>1</v>
      </c>
      <c r="H6" s="17">
        <f>sigmaB^2</f>
        <v>4</v>
      </c>
    </row>
    <row r="7" spans="1:16" x14ac:dyDescent="0.3">
      <c r="B7" s="22" t="s">
        <v>2</v>
      </c>
      <c r="C7" s="23">
        <v>1</v>
      </c>
      <c r="D7" s="23">
        <v>2</v>
      </c>
      <c r="E7" s="7" cm="1">
        <f t="array" ref="E7">SQRT(MMULT(MMULT(C12:D12,G5:H6),TRANSPOSE(C12:D12)))</f>
        <v>1.3228756555322954</v>
      </c>
    </row>
    <row r="8" spans="1:16" x14ac:dyDescent="0.3">
      <c r="B8" s="22" t="s">
        <v>3</v>
      </c>
      <c r="C8" s="7">
        <f>_xlfn.NORM.INV(VaR_Threshold%,muA,sigmaA)</f>
        <v>-1.6448536269514726</v>
      </c>
      <c r="D8" s="7">
        <f>_xlfn.NORM.INV(VaR_Threshold%,muB,sigmaB)</f>
        <v>-2.2897072539029453</v>
      </c>
      <c r="E8" s="7">
        <f>_xlfn.NORM.INV(VaR_Threshold%,E6,E7)</f>
        <v>-1.6759368200081028</v>
      </c>
    </row>
    <row r="9" spans="1:16" x14ac:dyDescent="0.3">
      <c r="B9" s="22" t="s">
        <v>4</v>
      </c>
      <c r="C9" s="7">
        <f>muA-sigmaA*(100/VaR_Threshold)*(1/SQRT(2*PI())*EXP(-0.5*NORMSINV(VaR_Threshold%)^2))</f>
        <v>-2.0627128075074266</v>
      </c>
      <c r="D9" s="7">
        <f>muB-sigmaB*(100/VaR_Threshold)*(1/SQRT(2*PI())*EXP(-0.5*NORMSINV(VaR_Threshold%)^2))</f>
        <v>-3.1254256150148532</v>
      </c>
      <c r="E9" s="7">
        <f>E6-E7*(100/VaR_Threshold)*(1/SQRT(2*PI())*EXP(-0.5*NORMSINV(VaR_Threshold%)^2))</f>
        <v>-2.2287125574062476</v>
      </c>
    </row>
    <row r="11" spans="1:16" x14ac:dyDescent="0.3">
      <c r="B11" s="22" t="s">
        <v>0</v>
      </c>
      <c r="C11" s="23">
        <v>5</v>
      </c>
    </row>
    <row r="12" spans="1:16" x14ac:dyDescent="0.3">
      <c r="B12" s="22" t="s">
        <v>10</v>
      </c>
      <c r="C12" s="55">
        <v>0.5</v>
      </c>
      <c r="D12" s="55">
        <v>0.5</v>
      </c>
    </row>
    <row r="14" spans="1:16" x14ac:dyDescent="0.3">
      <c r="B14" s="20" t="s">
        <v>5</v>
      </c>
      <c r="C14" s="21" t="s">
        <v>6</v>
      </c>
      <c r="D14" s="21" t="s">
        <v>7</v>
      </c>
      <c r="E14" s="21" t="s">
        <v>30</v>
      </c>
    </row>
    <row r="15" spans="1:16" x14ac:dyDescent="0.3">
      <c r="B15" s="7">
        <f>MIN(muA-(4*sigmaA),muB-(4*sigmaB))</f>
        <v>-7</v>
      </c>
      <c r="C15" s="18">
        <f t="shared" ref="C15:C78" si="0">_xlfn.NORM.DIST($B15,muA,sigmaA,FALSE)</f>
        <v>9.1347204083645936E-12</v>
      </c>
      <c r="D15" s="18">
        <f t="shared" ref="D15:D78" si="1">_xlfn.NORM.DIST($B15,muB,sigmaB,FALSE)</f>
        <v>6.6915112882442684E-5</v>
      </c>
      <c r="E15" s="18">
        <f t="shared" ref="E15:E24" si="2">_xlfn.NORM.DIST($B15,E$6,E$7,FALSE)</f>
        <v>3.1597905550395063E-8</v>
      </c>
    </row>
    <row r="16" spans="1:16" x14ac:dyDescent="0.3">
      <c r="A16" s="2">
        <f>ABS((B215-B15)/200)</f>
        <v>0.08</v>
      </c>
      <c r="B16" s="17">
        <f t="shared" ref="B16:B47" si="3">B15+$A$16</f>
        <v>-6.92</v>
      </c>
      <c r="C16" s="18">
        <f t="shared" si="0"/>
        <v>1.5940811515883886E-11</v>
      </c>
      <c r="D16" s="18">
        <f t="shared" si="1"/>
        <v>7.8462817032766131E-5</v>
      </c>
      <c r="E16" s="18">
        <f t="shared" si="2"/>
        <v>4.4439086545303618E-8</v>
      </c>
    </row>
    <row r="17" spans="2:5" x14ac:dyDescent="0.3">
      <c r="B17" s="17">
        <f t="shared" si="3"/>
        <v>-6.84</v>
      </c>
      <c r="C17" s="18">
        <f t="shared" si="0"/>
        <v>2.7640513661679543E-11</v>
      </c>
      <c r="D17" s="18">
        <f t="shared" si="1"/>
        <v>9.1856249001228554E-5</v>
      </c>
      <c r="E17" s="18">
        <f>_xlfn.NORM.DIST($B17,E$6,E$7,FALSE)</f>
        <v>6.2270689299157689E-8</v>
      </c>
    </row>
    <row r="18" spans="2:5" x14ac:dyDescent="0.3">
      <c r="B18" s="17">
        <f t="shared" si="3"/>
        <v>-6.76</v>
      </c>
      <c r="C18" s="18">
        <f t="shared" si="0"/>
        <v>4.762141631915674E-11</v>
      </c>
      <c r="D18" s="18">
        <f t="shared" si="1"/>
        <v>1.0736399075018352E-4</v>
      </c>
      <c r="E18" s="18">
        <f t="shared" si="2"/>
        <v>8.6938860962973007E-8</v>
      </c>
    </row>
    <row r="19" spans="2:5" x14ac:dyDescent="0.3">
      <c r="B19" s="17">
        <f t="shared" si="3"/>
        <v>-6.68</v>
      </c>
      <c r="C19" s="18">
        <f t="shared" si="0"/>
        <v>8.1522787527000639E-11</v>
      </c>
      <c r="D19" s="18">
        <f t="shared" si="1"/>
        <v>1.2528922244543037E-4</v>
      </c>
      <c r="E19" s="18">
        <f t="shared" si="2"/>
        <v>1.2093609516100587E-7</v>
      </c>
    </row>
    <row r="20" spans="2:5" x14ac:dyDescent="0.3">
      <c r="B20" s="17">
        <f t="shared" si="3"/>
        <v>-6.6</v>
      </c>
      <c r="C20" s="18">
        <f t="shared" si="0"/>
        <v>1.3866799941653172E-10</v>
      </c>
      <c r="D20" s="18">
        <f t="shared" si="1"/>
        <v>1.4597346289573014E-4</v>
      </c>
      <c r="E20" s="18">
        <f t="shared" si="2"/>
        <v>1.6761375698299968E-7</v>
      </c>
    </row>
    <row r="21" spans="2:5" x14ac:dyDescent="0.3">
      <c r="B21" s="17">
        <f t="shared" si="3"/>
        <v>-6.52</v>
      </c>
      <c r="C21" s="18">
        <f t="shared" si="0"/>
        <v>2.3436566877932076E-10</v>
      </c>
      <c r="D21" s="18">
        <f t="shared" si="1"/>
        <v>1.6980060624182739E-4</v>
      </c>
      <c r="E21" s="18">
        <f t="shared" si="2"/>
        <v>2.3145954903299086E-7</v>
      </c>
    </row>
    <row r="22" spans="2:5" x14ac:dyDescent="0.3">
      <c r="B22" s="17">
        <f t="shared" si="3"/>
        <v>-6.4399999999999995</v>
      </c>
      <c r="C22" s="18">
        <f t="shared" si="0"/>
        <v>3.9357930409014538E-10</v>
      </c>
      <c r="D22" s="18">
        <f t="shared" si="1"/>
        <v>1.9720126248457846E-4</v>
      </c>
      <c r="E22" s="18">
        <f t="shared" si="2"/>
        <v>3.1845807648103336E-7</v>
      </c>
    </row>
    <row r="23" spans="2:5" x14ac:dyDescent="0.3">
      <c r="B23" s="17">
        <f t="shared" si="3"/>
        <v>-6.3599999999999994</v>
      </c>
      <c r="C23" s="18">
        <f t="shared" si="0"/>
        <v>6.5673630963611265E-10</v>
      </c>
      <c r="D23" s="18">
        <f t="shared" si="1"/>
        <v>2.2865740702992881E-4</v>
      </c>
      <c r="E23" s="18">
        <f t="shared" si="2"/>
        <v>4.3655720030431844E-7</v>
      </c>
    </row>
    <row r="24" spans="2:5" x14ac:dyDescent="0.3">
      <c r="B24" s="17">
        <f t="shared" si="3"/>
        <v>-6.2799999999999994</v>
      </c>
      <c r="C24" s="18">
        <f t="shared" si="0"/>
        <v>1.088855673277068E-9</v>
      </c>
      <c r="D24" s="18">
        <f t="shared" si="1"/>
        <v>2.6470734154746781E-4</v>
      </c>
      <c r="E24" s="18">
        <f t="shared" si="2"/>
        <v>5.9626836248295555E-7</v>
      </c>
    </row>
    <row r="25" spans="2:5" x14ac:dyDescent="0.3">
      <c r="B25" s="17">
        <f t="shared" si="3"/>
        <v>-6.1999999999999993</v>
      </c>
      <c r="C25" s="18">
        <f t="shared" si="0"/>
        <v>1.7937839079640922E-9</v>
      </c>
      <c r="D25" s="18">
        <f t="shared" si="1"/>
        <v>3.0595096505688649E-4</v>
      </c>
      <c r="E25" s="18">
        <f t="shared" ref="E25:E34" si="4">_xlfn.NORM.DIST($B25,E$6,E$7,FALSE)</f>
        <v>8.1143568070988679E-7</v>
      </c>
    </row>
    <row r="26" spans="2:5" x14ac:dyDescent="0.3">
      <c r="B26" s="17">
        <f t="shared" si="3"/>
        <v>-6.1199999999999992</v>
      </c>
      <c r="C26" s="18">
        <f t="shared" si="0"/>
        <v>2.9362325198239412E-9</v>
      </c>
      <c r="D26" s="18">
        <f t="shared" si="1"/>
        <v>3.5305535024401875E-4</v>
      </c>
      <c r="E26" s="18">
        <f t="shared" si="4"/>
        <v>1.1002165102482578E-6</v>
      </c>
    </row>
    <row r="27" spans="2:5" x14ac:dyDescent="0.3">
      <c r="B27" s="17">
        <f t="shared" si="3"/>
        <v>-6.0399999999999991</v>
      </c>
      <c r="C27" s="18">
        <f t="shared" si="0"/>
        <v>4.7756366922822924E-9</v>
      </c>
      <c r="D27" s="18">
        <f t="shared" si="1"/>
        <v>4.0676061554090459E-4</v>
      </c>
      <c r="E27" s="18">
        <f t="shared" si="4"/>
        <v>1.4863255315270074E-6</v>
      </c>
    </row>
    <row r="28" spans="2:5" x14ac:dyDescent="0.3">
      <c r="B28" s="17">
        <f t="shared" si="3"/>
        <v>-5.9599999999999991</v>
      </c>
      <c r="C28" s="18">
        <f t="shared" si="0"/>
        <v>7.717784212570557E-9</v>
      </c>
      <c r="D28" s="18">
        <f t="shared" si="1"/>
        <v>4.6788607846374064E-4</v>
      </c>
      <c r="E28" s="18">
        <f t="shared" si="4"/>
        <v>2.0006054206503855E-6</v>
      </c>
    </row>
    <row r="29" spans="2:5" x14ac:dyDescent="0.3">
      <c r="B29" s="17">
        <f t="shared" si="3"/>
        <v>-5.879999999999999</v>
      </c>
      <c r="C29" s="18">
        <f t="shared" si="0"/>
        <v>1.2392944314150173E-8</v>
      </c>
      <c r="D29" s="18">
        <f t="shared" si="1"/>
        <v>5.3733667007686836E-4</v>
      </c>
      <c r="E29" s="18">
        <f t="shared" si="4"/>
        <v>2.6829999675889166E-6</v>
      </c>
    </row>
    <row r="30" spans="2:5" x14ac:dyDescent="0.3">
      <c r="B30" s="17">
        <f t="shared" si="3"/>
        <v>-5.7999999999999989</v>
      </c>
      <c r="C30" s="18">
        <f t="shared" si="0"/>
        <v>1.9773196406244814E-8</v>
      </c>
      <c r="D30" s="18">
        <f t="shared" si="1"/>
        <v>6.1610958423651051E-4</v>
      </c>
      <c r="E30" s="18">
        <f t="shared" si="4"/>
        <v>3.5850202794713755E-6</v>
      </c>
    </row>
    <row r="31" spans="2:5" x14ac:dyDescent="0.3">
      <c r="B31" s="17">
        <f t="shared" si="3"/>
        <v>-5.7199999999999989</v>
      </c>
      <c r="C31" s="18">
        <f t="shared" si="0"/>
        <v>3.1347273817919896E-8</v>
      </c>
      <c r="D31" s="18">
        <f t="shared" si="1"/>
        <v>7.0530112847069304E-4</v>
      </c>
      <c r="E31" s="18">
        <f t="shared" si="4"/>
        <v>4.7728115720732068E-6</v>
      </c>
    </row>
    <row r="32" spans="2:5" x14ac:dyDescent="0.3">
      <c r="B32" s="17">
        <f t="shared" si="3"/>
        <v>-5.6399999999999988</v>
      </c>
      <c r="C32" s="18">
        <f t="shared" si="0"/>
        <v>4.9379102271104754E-8</v>
      </c>
      <c r="D32" s="18">
        <f t="shared" si="1"/>
        <v>8.0611373598856373E-4</v>
      </c>
      <c r="E32" s="18">
        <f t="shared" si="4"/>
        <v>6.330947095318426E-6</v>
      </c>
    </row>
    <row r="33" spans="2:5" x14ac:dyDescent="0.3">
      <c r="B33" s="17">
        <f t="shared" si="3"/>
        <v>-5.5599999999999987</v>
      </c>
      <c r="C33" s="18">
        <f t="shared" si="0"/>
        <v>7.7287118885229607E-8</v>
      </c>
      <c r="D33" s="18">
        <f t="shared" si="1"/>
        <v>9.1986309041214125E-4</v>
      </c>
      <c r="E33" s="18">
        <f t="shared" si="4"/>
        <v>8.3670969792903646E-6</v>
      </c>
    </row>
    <row r="34" spans="2:5" x14ac:dyDescent="0.3">
      <c r="B34" s="17">
        <f t="shared" si="3"/>
        <v>-5.4799999999999986</v>
      </c>
      <c r="C34" s="18">
        <f t="shared" si="0"/>
        <v>1.2019642790628337E-7</v>
      </c>
      <c r="D34" s="18">
        <f t="shared" si="1"/>
        <v>1.0479853064289746E-3</v>
      </c>
      <c r="E34" s="18">
        <f t="shared" si="4"/>
        <v>1.1017743161120031E-5</v>
      </c>
    </row>
    <row r="35" spans="2:5" x14ac:dyDescent="0.3">
      <c r="B35" s="17">
        <f t="shared" si="3"/>
        <v>-5.3999999999999986</v>
      </c>
      <c r="C35" s="18">
        <f t="shared" si="0"/>
        <v>1.8573618445553061E-7</v>
      </c>
      <c r="D35" s="18">
        <f t="shared" si="1"/>
        <v>1.1920441007324243E-3</v>
      </c>
      <c r="E35" s="18">
        <f t="shared" ref="E35:E44" si="5">_xlfn.NORM.DIST($B35,E$6,E$7,FALSE)</f>
        <v>1.445513688385059E-5</v>
      </c>
    </row>
    <row r="36" spans="2:5" x14ac:dyDescent="0.3">
      <c r="B36" s="17">
        <f t="shared" si="3"/>
        <v>-5.3199999999999985</v>
      </c>
      <c r="C36" s="18">
        <f t="shared" si="0"/>
        <v>2.8518192322840016E-7</v>
      </c>
      <c r="D36" s="18">
        <f t="shared" si="1"/>
        <v>1.3537378784203549E-3</v>
      </c>
      <c r="E36" s="18">
        <f t="shared" si="5"/>
        <v>1.8895722229109195E-5</v>
      </c>
    </row>
    <row r="37" spans="2:5" x14ac:dyDescent="0.3">
      <c r="B37" s="17">
        <f t="shared" si="3"/>
        <v>-5.2399999999999984</v>
      </c>
      <c r="C37" s="18">
        <f t="shared" si="0"/>
        <v>4.3507886075151478E-7</v>
      </c>
      <c r="D37" s="18">
        <f t="shared" si="1"/>
        <v>1.5349066505523743E-3</v>
      </c>
      <c r="E37" s="18">
        <f t="shared" si="5"/>
        <v>2.4610277267393513E-5</v>
      </c>
    </row>
    <row r="38" spans="2:5" x14ac:dyDescent="0.3">
      <c r="B38" s="17">
        <f t="shared" si="3"/>
        <v>-5.1599999999999984</v>
      </c>
      <c r="C38" s="18">
        <f t="shared" si="0"/>
        <v>6.595298968575275E-7</v>
      </c>
      <c r="D38" s="18">
        <f t="shared" si="1"/>
        <v>1.7375386889274737E-3</v>
      </c>
      <c r="E38" s="18">
        <f t="shared" si="5"/>
        <v>3.1936052989349691E-5</v>
      </c>
    </row>
    <row r="39" spans="2:5" x14ac:dyDescent="0.3">
      <c r="B39" s="17">
        <f t="shared" si="3"/>
        <v>-5.0799999999999983</v>
      </c>
      <c r="C39" s="18">
        <f t="shared" si="0"/>
        <v>9.9339394133992092E-7</v>
      </c>
      <c r="D39" s="18">
        <f t="shared" si="1"/>
        <v>1.9637768144623946E-3</v>
      </c>
      <c r="E39" s="18">
        <f t="shared" si="5"/>
        <v>4.1291218286839032E-5</v>
      </c>
    </row>
    <row r="40" spans="2:5" x14ac:dyDescent="0.3">
      <c r="B40" s="17">
        <f t="shared" si="3"/>
        <v>-4.9999999999999982</v>
      </c>
      <c r="C40" s="18">
        <f t="shared" si="0"/>
        <v>1.486719514734311E-6</v>
      </c>
      <c r="D40" s="18">
        <f t="shared" si="1"/>
        <v>2.2159242059690094E-3</v>
      </c>
      <c r="E40" s="18">
        <f t="shared" si="5"/>
        <v>5.3191945682197738E-5</v>
      </c>
    </row>
    <row r="41" spans="2:5" x14ac:dyDescent="0.3">
      <c r="B41" s="17">
        <f t="shared" si="3"/>
        <v>-4.9199999999999982</v>
      </c>
      <c r="C41" s="18">
        <f t="shared" si="0"/>
        <v>2.2108388745684411E-6</v>
      </c>
      <c r="D41" s="18">
        <f t="shared" si="1"/>
        <v>2.4964496068061947E-3</v>
      </c>
      <c r="E41" s="18">
        <f t="shared" si="5"/>
        <v>6.8272495758184463E-5</v>
      </c>
    </row>
    <row r="42" spans="2:5" x14ac:dyDescent="0.3">
      <c r="B42" s="17">
        <f t="shared" si="3"/>
        <v>-4.8399999999999981</v>
      </c>
      <c r="C42" s="18">
        <f t="shared" si="0"/>
        <v>3.2666729639933044E-6</v>
      </c>
      <c r="D42" s="18">
        <f t="shared" si="1"/>
        <v>2.8079917979954919E-3</v>
      </c>
      <c r="E42" s="18">
        <f t="shared" si="5"/>
        <v>8.7308676499996211E-5</v>
      </c>
    </row>
    <row r="43" spans="2:5" x14ac:dyDescent="0.3">
      <c r="B43" s="17">
        <f t="shared" si="3"/>
        <v>-4.759999999999998</v>
      </c>
      <c r="C43" s="18">
        <f t="shared" si="0"/>
        <v>4.7959510215525641E-6</v>
      </c>
      <c r="D43" s="18">
        <f t="shared" si="1"/>
        <v>3.1533631981329724E-3</v>
      </c>
      <c r="E43" s="18">
        <f t="shared" si="5"/>
        <v>1.1124506487222965E-4</v>
      </c>
    </row>
    <row r="44" spans="2:5" x14ac:dyDescent="0.3">
      <c r="B44" s="17">
        <f t="shared" si="3"/>
        <v>-4.6799999999999979</v>
      </c>
      <c r="C44" s="18">
        <f t="shared" si="0"/>
        <v>6.996234143270455E-6</v>
      </c>
      <c r="D44" s="18">
        <f t="shared" si="1"/>
        <v>3.5355524430097339E-3</v>
      </c>
      <c r="E44" s="18">
        <f t="shared" si="5"/>
        <v>1.4122637943330299E-4</v>
      </c>
    </row>
    <row r="45" spans="2:5" x14ac:dyDescent="0.3">
      <c r="B45" s="17">
        <f t="shared" si="3"/>
        <v>-4.5999999999999979</v>
      </c>
      <c r="C45" s="18">
        <f t="shared" si="0"/>
        <v>1.014085206548685E-5</v>
      </c>
      <c r="D45" s="18">
        <f t="shared" si="1"/>
        <v>3.9577257914899947E-3</v>
      </c>
      <c r="E45" s="18">
        <f t="shared" ref="E45:E54" si="6">_xlfn.NORM.DIST($B45,E$6,E$7,FALSE)</f>
        <v>1.7863338183776161E-4</v>
      </c>
    </row>
    <row r="46" spans="2:5" x14ac:dyDescent="0.3">
      <c r="B46" s="17">
        <f t="shared" si="3"/>
        <v>-4.5199999999999978</v>
      </c>
      <c r="C46" s="18">
        <f t="shared" si="0"/>
        <v>1.4605118139153044E-5</v>
      </c>
      <c r="D46" s="18">
        <f t="shared" si="1"/>
        <v>4.4232271991186253E-3</v>
      </c>
      <c r="E46" s="18">
        <f t="shared" si="6"/>
        <v>2.2512365861502941E-4</v>
      </c>
    </row>
    <row r="47" spans="2:5" x14ac:dyDescent="0.3">
      <c r="B47" s="17">
        <f t="shared" si="3"/>
        <v>-4.4399999999999977</v>
      </c>
      <c r="C47" s="18">
        <f t="shared" si="0"/>
        <v>2.0900477900450665E-5</v>
      </c>
      <c r="D47" s="18">
        <f t="shared" si="1"/>
        <v>4.935576897375585E-3</v>
      </c>
      <c r="E47" s="18">
        <f t="shared" si="6"/>
        <v>2.8267758934692765E-4</v>
      </c>
    </row>
    <row r="48" spans="2:5" x14ac:dyDescent="0.3">
      <c r="B48" s="17">
        <f t="shared" ref="B48:B79" si="7">B47+$A$16</f>
        <v>-4.3599999999999977</v>
      </c>
      <c r="C48" s="18">
        <f t="shared" si="0"/>
        <v>2.9718567676442518E-5</v>
      </c>
      <c r="D48" s="18">
        <f t="shared" si="1"/>
        <v>5.4984683147028058E-3</v>
      </c>
      <c r="E48" s="18">
        <f t="shared" si="6"/>
        <v>3.5364973987381249E-4</v>
      </c>
    </row>
    <row r="49" spans="2:5" x14ac:dyDescent="0.3">
      <c r="B49" s="17">
        <f t="shared" si="7"/>
        <v>-4.2799999999999976</v>
      </c>
      <c r="C49" s="18">
        <f t="shared" si="0"/>
        <v>4.1987502931617769E-5</v>
      </c>
      <c r="D49" s="18">
        <f t="shared" si="1"/>
        <v>6.1157631756390066E-3</v>
      </c>
      <c r="E49" s="18">
        <f t="shared" si="6"/>
        <v>4.4082582601143969E-4</v>
      </c>
    </row>
    <row r="50" spans="2:5" x14ac:dyDescent="0.3">
      <c r="B50" s="17">
        <f t="shared" si="7"/>
        <v>-4.1999999999999975</v>
      </c>
      <c r="C50" s="18">
        <f t="shared" si="0"/>
        <v>5.8943067756540478E-5</v>
      </c>
      <c r="D50" s="18">
        <f t="shared" si="1"/>
        <v>6.7914846168428307E-3</v>
      </c>
      <c r="E50" s="18">
        <f t="shared" si="6"/>
        <v>5.4748527117390755E-4</v>
      </c>
    </row>
    <row r="51" spans="2:5" x14ac:dyDescent="0.3">
      <c r="B51" s="17">
        <f t="shared" si="7"/>
        <v>-4.1199999999999974</v>
      </c>
      <c r="C51" s="18">
        <f t="shared" si="0"/>
        <v>8.221781653628687E-5</v>
      </c>
      <c r="D51" s="18">
        <f t="shared" si="1"/>
        <v>7.5298081636887525E-3</v>
      </c>
      <c r="E51" s="18">
        <f t="shared" si="6"/>
        <v>6.7746922731965538E-4</v>
      </c>
    </row>
    <row r="52" spans="2:5" x14ac:dyDescent="0.3">
      <c r="B52" s="17">
        <f t="shared" si="7"/>
        <v>-4.0399999999999974</v>
      </c>
      <c r="C52" s="18">
        <f t="shared" si="0"/>
        <v>1.1395139806886584E-4</v>
      </c>
      <c r="D52" s="18">
        <f t="shared" si="1"/>
        <v>8.335050418690558E-3</v>
      </c>
      <c r="E52" s="18">
        <f t="shared" si="6"/>
        <v>8.3525374036350097E-4</v>
      </c>
    </row>
    <row r="53" spans="2:5" x14ac:dyDescent="0.3">
      <c r="B53" s="17">
        <f t="shared" si="7"/>
        <v>-3.9599999999999973</v>
      </c>
      <c r="C53" s="18">
        <f t="shared" si="0"/>
        <v>1.5692563406553394E-4</v>
      </c>
      <c r="D53" s="18">
        <f t="shared" si="1"/>
        <v>9.2116553234310571E-3</v>
      </c>
      <c r="E53" s="18">
        <f t="shared" si="6"/>
        <v>1.026027517018908E-3</v>
      </c>
    </row>
    <row r="54" spans="2:5" x14ac:dyDescent="0.3">
      <c r="B54" s="17">
        <f t="shared" si="7"/>
        <v>-3.8799999999999972</v>
      </c>
      <c r="C54" s="18">
        <f t="shared" si="0"/>
        <v>2.1472798150036932E-4</v>
      </c>
      <c r="D54" s="18">
        <f t="shared" si="1"/>
        <v>1.016417786911295E-2</v>
      </c>
      <c r="E54" s="18">
        <f t="shared" si="6"/>
        <v>1.25577348940594E-3</v>
      </c>
    </row>
    <row r="55" spans="2:5" x14ac:dyDescent="0.3">
      <c r="B55" s="17">
        <f t="shared" si="7"/>
        <v>-3.7999999999999972</v>
      </c>
      <c r="C55" s="18">
        <f t="shared" si="0"/>
        <v>2.9194692579146342E-4</v>
      </c>
      <c r="D55" s="18">
        <f t="shared" si="1"/>
        <v>1.1197265147421484E-2</v>
      </c>
      <c r="E55" s="18">
        <f t="shared" ref="E55:E64" si="8">_xlfn.NORM.DIST($B55,E$6,E$7,FALSE)</f>
        <v>1.5313530774831007E-3</v>
      </c>
    </row>
    <row r="56" spans="2:5" x14ac:dyDescent="0.3">
      <c r="B56" s="17">
        <f t="shared" si="7"/>
        <v>-3.7199999999999971</v>
      </c>
      <c r="C56" s="18">
        <f t="shared" si="0"/>
        <v>3.9440252496916083E-4</v>
      </c>
      <c r="D56" s="18">
        <f t="shared" si="1"/>
        <v>1.2315634653191292E-2</v>
      </c>
      <c r="E56" s="18">
        <f t="shared" si="8"/>
        <v>1.860591719870536E-3</v>
      </c>
    </row>
    <row r="57" spans="2:5" x14ac:dyDescent="0.3">
      <c r="B57" s="17">
        <f t="shared" si="7"/>
        <v>-3.639999999999997</v>
      </c>
      <c r="C57" s="18">
        <f t="shared" si="0"/>
        <v>5.2941468309494082E-4</v>
      </c>
      <c r="D57" s="18">
        <f t="shared" si="1"/>
        <v>1.3524049773440936E-2</v>
      </c>
      <c r="E57" s="18">
        <f t="shared" si="8"/>
        <v>2.2523638852693329E-3</v>
      </c>
    </row>
    <row r="58" spans="2:5" x14ac:dyDescent="0.3">
      <c r="B58" s="17">
        <f t="shared" si="7"/>
        <v>-3.5599999999999969</v>
      </c>
      <c r="C58" s="18">
        <f t="shared" si="0"/>
        <v>7.0611070048804379E-4</v>
      </c>
      <c r="D58" s="18">
        <f t="shared" si="1"/>
        <v>1.4827292423670686E-2</v>
      </c>
      <c r="E58" s="18">
        <f t="shared" si="8"/>
        <v>2.7166753959422087E-3</v>
      </c>
    </row>
    <row r="59" spans="2:5" x14ac:dyDescent="0.3">
      <c r="B59" s="17">
        <f t="shared" si="7"/>
        <v>-3.4799999999999969</v>
      </c>
      <c r="C59" s="18">
        <f t="shared" si="0"/>
        <v>9.3577215692748964E-4</v>
      </c>
      <c r="D59" s="18">
        <f t="shared" si="1"/>
        <v>1.6230132821848785E-2</v>
      </c>
      <c r="E59" s="18">
        <f t="shared" si="8"/>
        <v>3.264740500449329E-3</v>
      </c>
    </row>
    <row r="60" spans="2:5" x14ac:dyDescent="0.3">
      <c r="B60" s="17">
        <f t="shared" si="7"/>
        <v>-3.3999999999999968</v>
      </c>
      <c r="C60" s="18">
        <f t="shared" si="0"/>
        <v>1.2322191684730329E-3</v>
      </c>
      <c r="D60" s="18">
        <f t="shared" si="1"/>
        <v>1.7737296423115785E-2</v>
      </c>
      <c r="E60" s="18">
        <f t="shared" si="8"/>
        <v>3.9090507363529819E-3</v>
      </c>
    </row>
    <row r="61" spans="2:5" x14ac:dyDescent="0.3">
      <c r="B61" s="17">
        <f t="shared" si="7"/>
        <v>-3.3199999999999967</v>
      </c>
      <c r="C61" s="18">
        <f t="shared" si="0"/>
        <v>1.6122274719771418E-3</v>
      </c>
      <c r="D61" s="18">
        <f t="shared" si="1"/>
        <v>1.9353428073727873E-2</v>
      </c>
      <c r="E61" s="18">
        <f t="shared" si="8"/>
        <v>4.6634322387546015E-3</v>
      </c>
    </row>
    <row r="62" spans="2:5" x14ac:dyDescent="0.3">
      <c r="B62" s="17">
        <f t="shared" si="7"/>
        <v>-3.2399999999999967</v>
      </c>
      <c r="C62" s="18">
        <f t="shared" si="0"/>
        <v>2.0959706128579657E-3</v>
      </c>
      <c r="D62" s="18">
        <f t="shared" si="1"/>
        <v>2.1083053480885239E-2</v>
      </c>
      <c r="E62" s="18">
        <f t="shared" si="8"/>
        <v>5.5430877935836228E-3</v>
      </c>
    </row>
    <row r="63" spans="2:5" x14ac:dyDescent="0.3">
      <c r="B63" s="17">
        <f t="shared" si="7"/>
        <v>-3.1599999999999966</v>
      </c>
      <c r="C63" s="18">
        <f t="shared" si="0"/>
        <v>2.7074757568407311E-3</v>
      </c>
      <c r="D63" s="18">
        <f t="shared" si="1"/>
        <v>2.2930538135527537E-2</v>
      </c>
      <c r="E63" s="18">
        <f t="shared" si="8"/>
        <v>6.5646196240267112E-3</v>
      </c>
    </row>
    <row r="64" spans="2:5" x14ac:dyDescent="0.3">
      <c r="B64" s="17">
        <f t="shared" si="7"/>
        <v>-3.0799999999999965</v>
      </c>
      <c r="C64" s="18">
        <f t="shared" si="0"/>
        <v>3.4750773778549752E-3</v>
      </c>
      <c r="D64" s="18">
        <f t="shared" si="1"/>
        <v>2.4900043867535474E-2</v>
      </c>
      <c r="E64" s="18">
        <f t="shared" si="8"/>
        <v>7.7460286547427143E-3</v>
      </c>
    </row>
    <row r="65" spans="2:5" x14ac:dyDescent="0.3">
      <c r="B65" s="17">
        <f t="shared" si="7"/>
        <v>-2.9999999999999964</v>
      </c>
      <c r="C65" s="18">
        <f t="shared" si="0"/>
        <v>4.4318484119380544E-3</v>
      </c>
      <c r="D65" s="18">
        <f t="shared" si="1"/>
        <v>2.6995483256594125E-2</v>
      </c>
      <c r="E65" s="18">
        <f t="shared" ref="E65:E74" si="9">_xlfn.NORM.DIST($B65,E$6,E$7,FALSE)</f>
        <v>9.106685843280421E-3</v>
      </c>
    </row>
    <row r="66" spans="2:5" x14ac:dyDescent="0.3">
      <c r="B66" s="17">
        <f t="shared" si="7"/>
        <v>-2.9199999999999964</v>
      </c>
      <c r="C66" s="18">
        <f t="shared" si="0"/>
        <v>5.6159835959910236E-3</v>
      </c>
      <c r="D66" s="18">
        <f t="shared" si="1"/>
        <v>2.9220472166725835E-2</v>
      </c>
      <c r="E66" s="18">
        <f t="shared" si="9"/>
        <v>1.06672711237881E-2</v>
      </c>
    </row>
    <row r="67" spans="2:5" x14ac:dyDescent="0.3">
      <c r="B67" s="17">
        <f t="shared" si="7"/>
        <v>-2.8399999999999963</v>
      </c>
      <c r="C67" s="18">
        <f t="shared" si="0"/>
        <v>7.071104886019525E-3</v>
      </c>
      <c r="D67" s="18">
        <f t="shared" si="1"/>
        <v>3.1578280717599438E-2</v>
      </c>
      <c r="E67" s="18">
        <f t="shared" si="9"/>
        <v>1.2449675596876719E-2</v>
      </c>
    </row>
    <row r="68" spans="2:5" x14ac:dyDescent="0.3">
      <c r="B68" s="17">
        <f t="shared" si="7"/>
        <v>-2.7599999999999962</v>
      </c>
      <c r="C68" s="18">
        <f t="shared" si="0"/>
        <v>8.8464543982373182E-3</v>
      </c>
      <c r="D68" s="18">
        <f t="shared" si="1"/>
        <v>3.40717830505224E-2</v>
      </c>
      <c r="E68" s="18">
        <f t="shared" si="9"/>
        <v>1.4476862842377088E-2</v>
      </c>
    </row>
    <row r="69" spans="2:5" x14ac:dyDescent="0.3">
      <c r="B69" s="17">
        <f t="shared" si="7"/>
        <v>-2.6799999999999962</v>
      </c>
      <c r="C69" s="18">
        <f t="shared" si="0"/>
        <v>1.0996936629405693E-2</v>
      </c>
      <c r="D69" s="18">
        <f t="shared" si="1"/>
        <v>3.670340629082857E-2</v>
      </c>
      <c r="E69" s="18">
        <f t="shared" si="9"/>
        <v>1.6772685647405271E-2</v>
      </c>
    </row>
    <row r="70" spans="2:5" x14ac:dyDescent="0.3">
      <c r="B70" s="17">
        <f t="shared" si="7"/>
        <v>-2.5999999999999961</v>
      </c>
      <c r="C70" s="18">
        <f t="shared" si="0"/>
        <v>1.3582969233685757E-2</v>
      </c>
      <c r="D70" s="18">
        <f t="shared" si="1"/>
        <v>3.9475079150447213E-2</v>
      </c>
      <c r="E70" s="18">
        <f t="shared" si="9"/>
        <v>1.9361655045761924E-2</v>
      </c>
    </row>
    <row r="71" spans="2:5" x14ac:dyDescent="0.3">
      <c r="B71" s="17">
        <f t="shared" si="7"/>
        <v>-2.519999999999996</v>
      </c>
      <c r="C71" s="18">
        <f t="shared" si="0"/>
        <v>1.6670100837381227E-2</v>
      </c>
      <c r="D71" s="18">
        <f t="shared" si="1"/>
        <v>4.2388180654011266E-2</v>
      </c>
      <c r="E71" s="18">
        <f t="shared" si="9"/>
        <v>2.2268659366576345E-2</v>
      </c>
    </row>
    <row r="72" spans="2:5" x14ac:dyDescent="0.3">
      <c r="B72" s="17">
        <f t="shared" si="7"/>
        <v>-2.4399999999999959</v>
      </c>
      <c r="C72" s="18">
        <f t="shared" si="0"/>
        <v>2.0328355738226035E-2</v>
      </c>
      <c r="D72" s="18">
        <f t="shared" si="1"/>
        <v>4.5443489508141588E-2</v>
      </c>
      <c r="E72" s="18">
        <f t="shared" si="9"/>
        <v>2.5518631994529965E-2</v>
      </c>
    </row>
    <row r="73" spans="2:5" x14ac:dyDescent="0.3">
      <c r="B73" s="17">
        <f t="shared" si="7"/>
        <v>-2.3599999999999959</v>
      </c>
      <c r="C73" s="18">
        <f t="shared" si="0"/>
        <v>2.4631269306382736E-2</v>
      </c>
      <c r="D73" s="18">
        <f t="shared" si="1"/>
        <v>4.8641134665733922E-2</v>
      </c>
      <c r="E73" s="18">
        <f t="shared" si="9"/>
        <v>2.9136167747970895E-2</v>
      </c>
    </row>
    <row r="74" spans="2:5" x14ac:dyDescent="0.3">
      <c r="B74" s="17">
        <f t="shared" si="7"/>
        <v>-2.2799999999999958</v>
      </c>
      <c r="C74" s="18">
        <f t="shared" si="0"/>
        <v>2.9654584847341556E-2</v>
      </c>
      <c r="D74" s="18">
        <f t="shared" si="1"/>
        <v>5.1980547664382273E-2</v>
      </c>
      <c r="E74" s="18">
        <f t="shared" si="9"/>
        <v>3.3145089173498204E-2</v>
      </c>
    </row>
    <row r="75" spans="2:5" x14ac:dyDescent="0.3">
      <c r="B75" s="17">
        <f t="shared" si="7"/>
        <v>-2.1999999999999957</v>
      </c>
      <c r="C75" s="18">
        <f t="shared" si="0"/>
        <v>3.5474592846231771E-2</v>
      </c>
      <c r="D75" s="18">
        <f t="shared" si="1"/>
        <v>5.5460417339727959E-2</v>
      </c>
      <c r="E75" s="18">
        <f t="shared" ref="E75:E84" si="10">_xlfn.NORM.DIST($B75,E$6,E$7,FALSE)</f>
        <v>3.7567965615790497E-2</v>
      </c>
    </row>
    <row r="76" spans="2:5" x14ac:dyDescent="0.3">
      <c r="B76" s="17">
        <f t="shared" si="7"/>
        <v>-2.1199999999999957</v>
      </c>
      <c r="C76" s="18">
        <f t="shared" si="0"/>
        <v>4.2166106961770707E-2</v>
      </c>
      <c r="D76" s="18">
        <f t="shared" si="1"/>
        <v>5.9078647529791348E-2</v>
      </c>
      <c r="E76" s="18">
        <f t="shared" si="10"/>
        <v>4.242558961963367E-2</v>
      </c>
    </row>
    <row r="77" spans="2:5" x14ac:dyDescent="0.3">
      <c r="B77" s="17">
        <f t="shared" si="7"/>
        <v>-2.0399999999999956</v>
      </c>
      <c r="C77" s="18">
        <f t="shared" si="0"/>
        <v>4.9800087735071212E-2</v>
      </c>
      <c r="D77" s="18">
        <f t="shared" si="1"/>
        <v>6.2832318394544284E-2</v>
      </c>
      <c r="E77" s="18">
        <f t="shared" si="10"/>
        <v>4.7736417017583591E-2</v>
      </c>
    </row>
    <row r="78" spans="2:5" x14ac:dyDescent="0.3">
      <c r="B78" s="17">
        <f t="shared" si="7"/>
        <v>-1.9599999999999955</v>
      </c>
      <c r="C78" s="18">
        <f t="shared" si="0"/>
        <v>5.8440944333451983E-2</v>
      </c>
      <c r="D78" s="18">
        <f t="shared" si="1"/>
        <v>6.6717651975501377E-2</v>
      </c>
      <c r="E78" s="18">
        <f t="shared" si="10"/>
        <v>5.3515978902381592E-2</v>
      </c>
    </row>
    <row r="79" spans="2:5" x14ac:dyDescent="0.3">
      <c r="B79" s="17">
        <f t="shared" si="7"/>
        <v>-1.8799999999999955</v>
      </c>
      <c r="C79" s="18">
        <f t="shared" ref="C79:C142" si="11">_xlfn.NORM.DIST($B79,muA,sigmaA,FALSE)</f>
        <v>6.8143566101045161E-2</v>
      </c>
      <c r="D79" s="18">
        <f t="shared" ref="D79:D142" si="12">_xlfn.NORM.DIST($B79,muB,sigmaB,FALSE)</f>
        <v>7.0729982612419612E-2</v>
      </c>
      <c r="E79" s="18">
        <f t="shared" si="10"/>
        <v>5.9776275520376322E-2</v>
      </c>
    </row>
    <row r="80" spans="2:5" x14ac:dyDescent="0.3">
      <c r="B80" s="17">
        <f t="shared" ref="B80:B111" si="13">B79+$A$16</f>
        <v>-1.7999999999999954</v>
      </c>
      <c r="C80" s="18">
        <f t="shared" si="11"/>
        <v>7.8950158300894815E-2</v>
      </c>
      <c r="D80" s="18">
        <f t="shared" si="12"/>
        <v>7.4863732817872675E-2</v>
      </c>
      <c r="E80" s="18">
        <f t="shared" si="10"/>
        <v>6.6525163885699221E-2</v>
      </c>
    </row>
    <row r="81" spans="2:5" x14ac:dyDescent="0.3">
      <c r="B81" s="17">
        <f t="shared" si="13"/>
        <v>-1.7199999999999953</v>
      </c>
      <c r="C81" s="18">
        <f t="shared" si="11"/>
        <v>9.0886979016283606E-2</v>
      </c>
      <c r="D81" s="18">
        <f t="shared" si="12"/>
        <v>7.9112395185191767E-2</v>
      </c>
      <c r="E81" s="18">
        <f t="shared" si="10"/>
        <v>7.376575253415274E-2</v>
      </c>
    </row>
    <row r="82" spans="2:5" x14ac:dyDescent="0.3">
      <c r="B82" s="17">
        <f t="shared" si="13"/>
        <v>-1.6399999999999952</v>
      </c>
      <c r="C82" s="18">
        <f t="shared" si="11"/>
        <v>0.103961095328765</v>
      </c>
      <c r="D82" s="18">
        <f t="shared" si="12"/>
        <v>8.3468520870857169E-2</v>
      </c>
      <c r="E82" s="18">
        <f t="shared" si="10"/>
        <v>8.1495818236809375E-2</v>
      </c>
    </row>
    <row r="83" spans="2:5" x14ac:dyDescent="0.3">
      <c r="B83" s="17">
        <f t="shared" si="13"/>
        <v>-1.5599999999999952</v>
      </c>
      <c r="C83" s="18">
        <f t="shared" si="11"/>
        <v>0.11815729505958315</v>
      </c>
      <c r="D83" s="18">
        <f t="shared" si="12"/>
        <v>8.7923715148831447E-2</v>
      </c>
      <c r="E83" s="18">
        <f t="shared" si="10"/>
        <v>8.9707260601773711E-2</v>
      </c>
    </row>
    <row r="84" spans="2:5" x14ac:dyDescent="0.3">
      <c r="B84" s="17">
        <f t="shared" si="13"/>
        <v>-1.4799999999999951</v>
      </c>
      <c r="C84" s="18">
        <f t="shared" si="11"/>
        <v>0.13343530395100325</v>
      </c>
      <c r="D84" s="18">
        <f t="shared" si="12"/>
        <v>9.2468640481652931E-2</v>
      </c>
      <c r="E84" s="18">
        <f t="shared" si="10"/>
        <v>9.8385611236584264E-2</v>
      </c>
    </row>
    <row r="85" spans="2:5" x14ac:dyDescent="0.3">
      <c r="B85" s="17">
        <f t="shared" si="13"/>
        <v>-1.399999999999995</v>
      </c>
      <c r="C85" s="18">
        <f t="shared" si="11"/>
        <v>0.1497274656357459</v>
      </c>
      <c r="D85" s="18">
        <f t="shared" si="12"/>
        <v>9.7093027491606768E-2</v>
      </c>
      <c r="E85" s="18">
        <f t="shared" ref="E85:E94" si="14">_xlfn.NORM.DIST($B85,E$6,E$7,FALSE)</f>
        <v>0.10750961445736555</v>
      </c>
    </row>
    <row r="86" spans="2:5" x14ac:dyDescent="0.3">
      <c r="B86" s="17">
        <f t="shared" si="13"/>
        <v>-1.319999999999995</v>
      </c>
      <c r="C86" s="18">
        <f t="shared" si="11"/>
        <v>0.16693704174171495</v>
      </c>
      <c r="D86" s="18">
        <f t="shared" si="12"/>
        <v>0.10178569414538001</v>
      </c>
      <c r="E86" s="18">
        <f t="shared" si="14"/>
        <v>0.11705089635744784</v>
      </c>
    </row>
    <row r="87" spans="2:5" x14ac:dyDescent="0.3">
      <c r="B87" s="17">
        <f t="shared" si="13"/>
        <v>-1.2399999999999949</v>
      </c>
      <c r="C87" s="18">
        <f t="shared" si="11"/>
        <v>0.18493728096330647</v>
      </c>
      <c r="D87" s="18">
        <f t="shared" si="12"/>
        <v>0.10653457338785925</v>
      </c>
      <c r="E87" s="18">
        <f t="shared" si="14"/>
        <v>0.1269737383437983</v>
      </c>
    </row>
    <row r="88" spans="2:5" x14ac:dyDescent="0.3">
      <c r="B88" s="17">
        <f t="shared" si="13"/>
        <v>-1.1599999999999948</v>
      </c>
      <c r="C88" s="18">
        <f t="shared" si="11"/>
        <v>0.20357138829076069</v>
      </c>
      <c r="D88" s="18">
        <f t="shared" si="12"/>
        <v>0.11132674937588088</v>
      </c>
      <c r="E88" s="18">
        <f t="shared" si="14"/>
        <v>0.13723496998614118</v>
      </c>
    </row>
    <row r="89" spans="2:5" x14ac:dyDescent="0.3">
      <c r="B89" s="17">
        <f t="shared" si="13"/>
        <v>-1.0799999999999947</v>
      </c>
      <c r="C89" s="18">
        <f t="shared" si="11"/>
        <v>0.22265349875176244</v>
      </c>
      <c r="D89" s="18">
        <f t="shared" si="12"/>
        <v>0.11614850237168342</v>
      </c>
      <c r="E89" s="18">
        <f t="shared" si="14"/>
        <v>0.14778399419153898</v>
      </c>
    </row>
    <row r="90" spans="2:5" x14ac:dyDescent="0.3">
      <c r="B90" s="17">
        <f t="shared" si="13"/>
        <v>-0.99999999999999478</v>
      </c>
      <c r="C90" s="18">
        <f t="shared" si="11"/>
        <v>0.24197072451914464</v>
      </c>
      <c r="D90" s="18">
        <f t="shared" si="12"/>
        <v>0.12098536225957202</v>
      </c>
      <c r="E90" s="18">
        <f t="shared" si="14"/>
        <v>0.1585629553276369</v>
      </c>
    </row>
    <row r="91" spans="2:5" x14ac:dyDescent="0.3">
      <c r="B91" s="17">
        <f t="shared" si="13"/>
        <v>-0.91999999999999482</v>
      </c>
      <c r="C91" s="18">
        <f t="shared" si="11"/>
        <v>0.26128630124955438</v>
      </c>
      <c r="D91" s="18">
        <f t="shared" si="12"/>
        <v>0.12582217054905886</v>
      </c>
      <c r="E91" s="18">
        <f t="shared" si="14"/>
        <v>0.16950705800405094</v>
      </c>
    </row>
    <row r="92" spans="2:5" x14ac:dyDescent="0.3">
      <c r="B92" s="17">
        <f t="shared" si="13"/>
        <v>-0.83999999999999486</v>
      </c>
      <c r="C92" s="18">
        <f t="shared" si="11"/>
        <v>0.28034381083962179</v>
      </c>
      <c r="D92" s="18">
        <f t="shared" si="12"/>
        <v>0.13064315062477685</v>
      </c>
      <c r="E92" s="18">
        <f t="shared" si="14"/>
        <v>0.18054504083945891</v>
      </c>
    </row>
    <row r="93" spans="2:5" x14ac:dyDescent="0.3">
      <c r="B93" s="17">
        <f t="shared" si="13"/>
        <v>-0.7599999999999949</v>
      </c>
      <c r="C93" s="18">
        <f t="shared" si="11"/>
        <v>0.29887240577595398</v>
      </c>
      <c r="D93" s="18">
        <f t="shared" si="12"/>
        <v>0.13543198589916933</v>
      </c>
      <c r="E93" s="18">
        <f t="shared" si="14"/>
        <v>0.19159980577000457</v>
      </c>
    </row>
    <row r="94" spans="2:5" x14ac:dyDescent="0.3">
      <c r="B94" s="17">
        <f t="shared" si="13"/>
        <v>-0.67999999999999494</v>
      </c>
      <c r="C94" s="18">
        <f t="shared" si="11"/>
        <v>0.31659290771089388</v>
      </c>
      <c r="D94" s="18">
        <f t="shared" si="12"/>
        <v>0.14017190541981059</v>
      </c>
      <c r="E94" s="18">
        <f t="shared" si="14"/>
        <v>0.20258919939149408</v>
      </c>
    </row>
    <row r="95" spans="2:5" x14ac:dyDescent="0.3">
      <c r="B95" s="17">
        <f t="shared" si="13"/>
        <v>-0.59999999999999498</v>
      </c>
      <c r="C95" s="18">
        <f t="shared" si="11"/>
        <v>0.33322460289180067</v>
      </c>
      <c r="D95" s="18">
        <f t="shared" si="12"/>
        <v>0.14484577638074167</v>
      </c>
      <c r="E95" s="18">
        <f t="shared" ref="E95:E104" si="15">_xlfn.NORM.DIST($B95,E$6,E$7,FALSE)</f>
        <v>0.2134269385905723</v>
      </c>
    </row>
    <row r="96" spans="2:5" x14ac:dyDescent="0.3">
      <c r="B96" s="17">
        <f t="shared" si="13"/>
        <v>-0.51999999999999502</v>
      </c>
      <c r="C96" s="18">
        <f t="shared" si="11"/>
        <v>0.34849251275897541</v>
      </c>
      <c r="D96" s="18">
        <f t="shared" si="12"/>
        <v>0.14943620288797665</v>
      </c>
      <c r="E96" s="18">
        <f t="shared" si="15"/>
        <v>0.22402366844020374</v>
      </c>
    </row>
    <row r="97" spans="2:5" x14ac:dyDescent="0.3">
      <c r="B97" s="17">
        <f t="shared" si="13"/>
        <v>-0.43999999999999501</v>
      </c>
      <c r="C97" s="18">
        <f t="shared" si="11"/>
        <v>0.36213488241309305</v>
      </c>
      <c r="D97" s="18">
        <f t="shared" si="12"/>
        <v>0.15392563023492675</v>
      </c>
      <c r="E97" s="18">
        <f t="shared" si="15"/>
        <v>0.2342881361541003</v>
      </c>
    </row>
    <row r="98" spans="2:5" x14ac:dyDescent="0.3">
      <c r="B98" s="17">
        <f t="shared" si="13"/>
        <v>-0.35999999999999499</v>
      </c>
      <c r="C98" s="18">
        <f t="shared" si="11"/>
        <v>0.37391060537312909</v>
      </c>
      <c r="D98" s="18">
        <f t="shared" si="12"/>
        <v>0.15829645385544666</v>
      </c>
      <c r="E98" s="18">
        <f t="shared" si="15"/>
        <v>0.24412846095991003</v>
      </c>
    </row>
    <row r="99" spans="2:5" x14ac:dyDescent="0.3">
      <c r="B99" s="17">
        <f t="shared" si="13"/>
        <v>-0.27999999999999498</v>
      </c>
      <c r="C99" s="18">
        <f t="shared" si="11"/>
        <v>0.38360629215347908</v>
      </c>
      <c r="D99" s="18">
        <f t="shared" si="12"/>
        <v>0.16253113204204134</v>
      </c>
      <c r="E99" s="18">
        <f t="shared" si="15"/>
        <v>0.25345347620789194</v>
      </c>
    </row>
    <row r="100" spans="2:5" x14ac:dyDescent="0.3">
      <c r="B100" s="17">
        <f t="shared" si="13"/>
        <v>-0.19999999999999496</v>
      </c>
      <c r="C100" s="18">
        <f t="shared" si="11"/>
        <v>0.39104269397545627</v>
      </c>
      <c r="D100" s="18">
        <f t="shared" si="12"/>
        <v>0.16661230144590009</v>
      </c>
      <c r="E100" s="18">
        <f t="shared" si="15"/>
        <v>0.26217411701949556</v>
      </c>
    </row>
    <row r="101" spans="2:5" x14ac:dyDescent="0.3">
      <c r="B101" s="17">
        <f t="shared" si="13"/>
        <v>-0.11999999999999496</v>
      </c>
      <c r="C101" s="18">
        <f t="shared" si="11"/>
        <v>0.39608021179365632</v>
      </c>
      <c r="D101" s="18">
        <f t="shared" si="12"/>
        <v>0.17052289431517653</v>
      </c>
      <c r="E101" s="18">
        <f t="shared" si="15"/>
        <v>0.2702048244249135</v>
      </c>
    </row>
    <row r="102" spans="2:5" x14ac:dyDescent="0.3">
      <c r="B102" s="17">
        <f t="shared" si="13"/>
        <v>-3.9999999999994956E-2</v>
      </c>
      <c r="C102" s="18">
        <f t="shared" si="11"/>
        <v>0.39862325420460509</v>
      </c>
      <c r="D102" s="18">
        <f t="shared" si="12"/>
        <v>0.17424625637948749</v>
      </c>
      <c r="E102" s="18">
        <f t="shared" si="15"/>
        <v>0.27746493534779759</v>
      </c>
    </row>
    <row r="103" spans="2:5" x14ac:dyDescent="0.3">
      <c r="B103" s="17">
        <f t="shared" si="13"/>
        <v>4.0000000000005045E-2</v>
      </c>
      <c r="C103" s="18">
        <f t="shared" si="11"/>
        <v>0.39862325420460493</v>
      </c>
      <c r="D103" s="18">
        <f t="shared" si="12"/>
        <v>0.17776626425299877</v>
      </c>
      <c r="E103" s="18">
        <f t="shared" si="15"/>
        <v>0.28388002705258136</v>
      </c>
    </row>
    <row r="104" spans="2:5" x14ac:dyDescent="0.3">
      <c r="B104" s="17">
        <f t="shared" si="13"/>
        <v>0.12000000000000505</v>
      </c>
      <c r="C104" s="18">
        <f t="shared" si="11"/>
        <v>0.39608021179365582</v>
      </c>
      <c r="D104" s="18">
        <f t="shared" si="12"/>
        <v>0.1810674412065463</v>
      </c>
      <c r="E104" s="18">
        <f t="shared" si="15"/>
        <v>0.28938318483069242</v>
      </c>
    </row>
    <row r="105" spans="2:5" x14ac:dyDescent="0.3">
      <c r="B105" s="17">
        <f t="shared" si="13"/>
        <v>0.20000000000000506</v>
      </c>
      <c r="C105" s="18">
        <f t="shared" si="11"/>
        <v>0.39104269397545549</v>
      </c>
      <c r="D105" s="18">
        <f t="shared" si="12"/>
        <v>0.18413507015166186</v>
      </c>
      <c r="E105" s="18">
        <f t="shared" ref="E105:E114" si="16">_xlfn.NORM.DIST($B105,E$6,E$7,FALSE)</f>
        <v>0.29391616279030175</v>
      </c>
    </row>
    <row r="106" spans="2:5" x14ac:dyDescent="0.3">
      <c r="B106" s="17">
        <f t="shared" si="13"/>
        <v>0.28000000000000508</v>
      </c>
      <c r="C106" s="18">
        <f t="shared" si="11"/>
        <v>0.38360629215347797</v>
      </c>
      <c r="D106" s="18">
        <f t="shared" si="12"/>
        <v>0.18695530268656435</v>
      </c>
      <c r="E106" s="18">
        <f t="shared" si="16"/>
        <v>0.29743040962062484</v>
      </c>
    </row>
    <row r="107" spans="2:5" x14ac:dyDescent="0.3">
      <c r="B107" s="17">
        <f t="shared" si="13"/>
        <v>0.36000000000000509</v>
      </c>
      <c r="C107" s="18">
        <f t="shared" si="11"/>
        <v>0.3739106053731277</v>
      </c>
      <c r="D107" s="18">
        <f t="shared" si="12"/>
        <v>0.189515263076351</v>
      </c>
      <c r="E107" s="18">
        <f t="shared" si="16"/>
        <v>0.29988793408256287</v>
      </c>
    </row>
    <row r="108" spans="2:5" x14ac:dyDescent="0.3">
      <c r="B108" s="17">
        <f t="shared" si="13"/>
        <v>0.44000000000000511</v>
      </c>
      <c r="C108" s="18">
        <f t="shared" si="11"/>
        <v>0.36213488241309144</v>
      </c>
      <c r="D108" s="18">
        <f t="shared" si="12"/>
        <v>0.1918031460767394</v>
      </c>
      <c r="E108" s="18">
        <f t="shared" si="16"/>
        <v>0.30126198865591164</v>
      </c>
    </row>
    <row r="109" spans="2:5" x14ac:dyDescent="0.3">
      <c r="B109" s="17">
        <f t="shared" si="13"/>
        <v>0.52000000000000512</v>
      </c>
      <c r="C109" s="18">
        <f t="shared" si="11"/>
        <v>0.34849251275897358</v>
      </c>
      <c r="D109" s="18">
        <f t="shared" si="12"/>
        <v>0.19380830756250719</v>
      </c>
      <c r="E109" s="18">
        <f t="shared" si="16"/>
        <v>0.30153755414199479</v>
      </c>
    </row>
    <row r="110" spans="2:5" x14ac:dyDescent="0.3">
      <c r="B110" s="17">
        <f t="shared" si="13"/>
        <v>0.60000000000000508</v>
      </c>
      <c r="C110" s="18">
        <f t="shared" si="11"/>
        <v>0.33322460289179862</v>
      </c>
      <c r="D110" s="18">
        <f t="shared" si="12"/>
        <v>0.19552134698772805</v>
      </c>
      <c r="E110" s="18">
        <f t="shared" si="16"/>
        <v>0.30071161294494714</v>
      </c>
    </row>
    <row r="111" spans="2:5" x14ac:dyDescent="0.3">
      <c r="B111" s="17">
        <f t="shared" si="13"/>
        <v>0.68000000000000504</v>
      </c>
      <c r="C111" s="18">
        <f t="shared" si="11"/>
        <v>0.31659290771089171</v>
      </c>
      <c r="D111" s="18">
        <f t="shared" si="12"/>
        <v>0.1969341807842705</v>
      </c>
      <c r="E111" s="18">
        <f t="shared" si="16"/>
        <v>0.29879320407863602</v>
      </c>
    </row>
    <row r="112" spans="2:5" x14ac:dyDescent="0.3">
      <c r="B112" s="17">
        <f t="shared" ref="B112:B143" si="17">B111+$A$16</f>
        <v>0.760000000000005</v>
      </c>
      <c r="C112" s="18">
        <f t="shared" si="11"/>
        <v>0.29887240577595164</v>
      </c>
      <c r="D112" s="18">
        <f t="shared" si="12"/>
        <v>0.19804010589682811</v>
      </c>
      <c r="E112" s="18">
        <f t="shared" si="16"/>
        <v>0.29580325849713879</v>
      </c>
    </row>
    <row r="113" spans="2:5" x14ac:dyDescent="0.3">
      <c r="B113" s="17">
        <f t="shared" si="17"/>
        <v>0.84000000000000496</v>
      </c>
      <c r="C113" s="18">
        <f t="shared" si="11"/>
        <v>0.2803438108396194</v>
      </c>
      <c r="D113" s="18">
        <f t="shared" si="12"/>
        <v>0.19883385275580448</v>
      </c>
      <c r="E113" s="18">
        <f t="shared" si="16"/>
        <v>0.29177421894351868</v>
      </c>
    </row>
    <row r="114" spans="2:5" x14ac:dyDescent="0.3">
      <c r="B114" s="17">
        <f t="shared" si="17"/>
        <v>0.92000000000000492</v>
      </c>
      <c r="C114" s="18">
        <f t="shared" si="11"/>
        <v>0.26128630124955199</v>
      </c>
      <c r="D114" s="18">
        <f t="shared" si="12"/>
        <v>0.19931162710230252</v>
      </c>
      <c r="E114" s="18">
        <f t="shared" si="16"/>
        <v>0.28674945397124779</v>
      </c>
    </row>
    <row r="115" spans="2:5" x14ac:dyDescent="0.3">
      <c r="B115" s="17">
        <f t="shared" si="17"/>
        <v>1.0000000000000049</v>
      </c>
      <c r="C115" s="18">
        <f t="shared" si="11"/>
        <v>0.24197072451914217</v>
      </c>
      <c r="D115" s="18">
        <f t="shared" si="12"/>
        <v>0.19947114020071635</v>
      </c>
      <c r="E115" s="18">
        <f t="shared" ref="E115:E124" si="18">_xlfn.NORM.DIST($B115,E$6,E$7,FALSE)</f>
        <v>0.28078248093737873</v>
      </c>
    </row>
    <row r="116" spans="2:5" x14ac:dyDescent="0.3">
      <c r="B116" s="17">
        <f t="shared" si="17"/>
        <v>1.080000000000005</v>
      </c>
      <c r="C116" s="18">
        <f t="shared" si="11"/>
        <v>0.22265349875175994</v>
      </c>
      <c r="D116" s="18">
        <f t="shared" si="12"/>
        <v>0.19931162710230249</v>
      </c>
      <c r="E116" s="18">
        <f t="shared" si="18"/>
        <v>0.27393601743137108</v>
      </c>
    </row>
    <row r="117" spans="2:5" x14ac:dyDescent="0.3">
      <c r="B117" s="17">
        <f t="shared" si="17"/>
        <v>1.160000000000005</v>
      </c>
      <c r="C117" s="18">
        <f t="shared" si="11"/>
        <v>0.20357138829075824</v>
      </c>
      <c r="D117" s="18">
        <f t="shared" si="12"/>
        <v>0.19883385275580442</v>
      </c>
      <c r="E117" s="18">
        <f t="shared" si="18"/>
        <v>0.26628088464223915</v>
      </c>
    </row>
    <row r="118" spans="2:5" x14ac:dyDescent="0.3">
      <c r="B118" s="17">
        <f t="shared" si="17"/>
        <v>1.2400000000000051</v>
      </c>
      <c r="C118" s="18">
        <f t="shared" si="11"/>
        <v>0.18493728096330411</v>
      </c>
      <c r="D118" s="18">
        <f t="shared" si="12"/>
        <v>0.19804010589682799</v>
      </c>
      <c r="E118" s="18">
        <f t="shared" si="18"/>
        <v>0.25789478945788008</v>
      </c>
    </row>
    <row r="119" spans="2:5" x14ac:dyDescent="0.3">
      <c r="B119" s="17">
        <f t="shared" si="17"/>
        <v>1.3200000000000052</v>
      </c>
      <c r="C119" s="18">
        <f t="shared" si="11"/>
        <v>0.16693704174171267</v>
      </c>
      <c r="D119" s="18">
        <f t="shared" si="12"/>
        <v>0.19693418078427033</v>
      </c>
      <c r="E119" s="18">
        <f t="shared" si="18"/>
        <v>0.24886101454157025</v>
      </c>
    </row>
    <row r="120" spans="2:5" x14ac:dyDescent="0.3">
      <c r="B120" s="17">
        <f t="shared" si="17"/>
        <v>1.4000000000000052</v>
      </c>
      <c r="C120" s="18">
        <f t="shared" si="11"/>
        <v>0.14972746563574377</v>
      </c>
      <c r="D120" s="18">
        <f t="shared" si="12"/>
        <v>0.19552134698772786</v>
      </c>
      <c r="E120" s="18">
        <f t="shared" si="18"/>
        <v>0.23926704718131062</v>
      </c>
    </row>
    <row r="121" spans="2:5" x14ac:dyDescent="0.3">
      <c r="B121" s="17">
        <f t="shared" si="17"/>
        <v>1.4800000000000053</v>
      </c>
      <c r="C121" s="18">
        <f t="shared" si="11"/>
        <v>0.13343530395100123</v>
      </c>
      <c r="D121" s="18">
        <f t="shared" si="12"/>
        <v>0.19380830756250694</v>
      </c>
      <c r="E121" s="18">
        <f t="shared" si="18"/>
        <v>0.22920317833136963</v>
      </c>
    </row>
    <row r="122" spans="2:5" x14ac:dyDescent="0.3">
      <c r="B122" s="17">
        <f t="shared" si="17"/>
        <v>1.5600000000000054</v>
      </c>
      <c r="C122" s="18">
        <f t="shared" si="11"/>
        <v>0.11815729505958129</v>
      </c>
      <c r="D122" s="18">
        <f t="shared" si="12"/>
        <v>0.19180314607673912</v>
      </c>
      <c r="E122" s="18">
        <f t="shared" si="18"/>
        <v>0.21876110296939472</v>
      </c>
    </row>
    <row r="123" spans="2:5" x14ac:dyDescent="0.3">
      <c r="B123" s="17">
        <f t="shared" si="17"/>
        <v>1.6400000000000055</v>
      </c>
      <c r="C123" s="18">
        <f t="shared" si="11"/>
        <v>0.10396109532876328</v>
      </c>
      <c r="D123" s="18">
        <f t="shared" si="12"/>
        <v>0.18951526307635069</v>
      </c>
      <c r="E123" s="18">
        <f t="shared" si="18"/>
        <v>0.20803255171686627</v>
      </c>
    </row>
    <row r="124" spans="2:5" x14ac:dyDescent="0.3">
      <c r="B124" s="17">
        <f t="shared" si="17"/>
        <v>1.7200000000000055</v>
      </c>
      <c r="C124" s="18">
        <f t="shared" si="11"/>
        <v>9.088697901628201E-2</v>
      </c>
      <c r="D124" s="18">
        <f t="shared" si="12"/>
        <v>0.18695530268656402</v>
      </c>
      <c r="E124" s="18">
        <f t="shared" si="18"/>
        <v>0.19710798168549123</v>
      </c>
    </row>
    <row r="125" spans="2:5" x14ac:dyDescent="0.3">
      <c r="B125" s="17">
        <f t="shared" si="17"/>
        <v>1.8000000000000056</v>
      </c>
      <c r="C125" s="18">
        <f t="shared" si="11"/>
        <v>7.8950158300893358E-2</v>
      </c>
      <c r="D125" s="18">
        <f t="shared" si="12"/>
        <v>0.18413507015166147</v>
      </c>
      <c r="E125" s="18">
        <f t="shared" ref="E125:E134" si="19">_xlfn.NORM.DIST($B125,E$6,E$7,FALSE)</f>
        <v>0.1860753518135691</v>
      </c>
    </row>
    <row r="126" spans="2:5" x14ac:dyDescent="0.3">
      <c r="B126" s="17">
        <f t="shared" si="17"/>
        <v>1.8800000000000057</v>
      </c>
      <c r="C126" s="18">
        <f t="shared" si="11"/>
        <v>6.8143566101043843E-2</v>
      </c>
      <c r="D126" s="18">
        <f t="shared" si="12"/>
        <v>0.18106744120654589</v>
      </c>
      <c r="E126" s="18">
        <f t="shared" si="19"/>
        <v>0.17501900466195111</v>
      </c>
    </row>
    <row r="127" spans="2:5" x14ac:dyDescent="0.3">
      <c r="B127" s="17">
        <f t="shared" si="17"/>
        <v>1.9600000000000057</v>
      </c>
      <c r="C127" s="18">
        <f t="shared" si="11"/>
        <v>5.844094433345081E-2</v>
      </c>
      <c r="D127" s="18">
        <f t="shared" si="12"/>
        <v>0.1777662642529983</v>
      </c>
      <c r="E127" s="18">
        <f t="shared" si="19"/>
        <v>0.16401867288230199</v>
      </c>
    </row>
    <row r="128" spans="2:5" x14ac:dyDescent="0.3">
      <c r="B128" s="17">
        <f t="shared" si="17"/>
        <v>2.0400000000000058</v>
      </c>
      <c r="C128" s="18">
        <f t="shared" si="11"/>
        <v>4.9800087735070171E-2</v>
      </c>
      <c r="D128" s="18">
        <f t="shared" si="12"/>
        <v>0.17424625637948701</v>
      </c>
      <c r="E128" s="18">
        <f t="shared" si="19"/>
        <v>0.15314862449419411</v>
      </c>
    </row>
    <row r="129" spans="2:5" x14ac:dyDescent="0.3">
      <c r="B129" s="17">
        <f t="shared" si="17"/>
        <v>2.1200000000000059</v>
      </c>
      <c r="C129" s="18">
        <f t="shared" si="11"/>
        <v>4.2166106961769804E-2</v>
      </c>
      <c r="D129" s="18">
        <f t="shared" si="12"/>
        <v>0.170522894315176</v>
      </c>
      <c r="E129" s="18">
        <f t="shared" si="19"/>
        <v>0.14247695685913794</v>
      </c>
    </row>
    <row r="130" spans="2:5" x14ac:dyDescent="0.3">
      <c r="B130" s="17">
        <f t="shared" si="17"/>
        <v>2.200000000000006</v>
      </c>
      <c r="C130" s="18">
        <f t="shared" si="11"/>
        <v>3.5474592846230966E-2</v>
      </c>
      <c r="D130" s="18">
        <f t="shared" si="12"/>
        <v>0.16661230144589953</v>
      </c>
      <c r="E130" s="18">
        <f t="shared" si="19"/>
        <v>0.13206504496387406</v>
      </c>
    </row>
    <row r="131" spans="2:5" x14ac:dyDescent="0.3">
      <c r="B131" s="17">
        <f t="shared" si="17"/>
        <v>2.280000000000006</v>
      </c>
      <c r="C131" s="18">
        <f t="shared" si="11"/>
        <v>2.9654584847340858E-2</v>
      </c>
      <c r="D131" s="18">
        <f t="shared" si="12"/>
        <v>0.16253113204204075</v>
      </c>
      <c r="E131" s="18">
        <f t="shared" si="19"/>
        <v>0.1219671454594107</v>
      </c>
    </row>
    <row r="132" spans="2:5" x14ac:dyDescent="0.3">
      <c r="B132" s="17">
        <f t="shared" si="17"/>
        <v>2.3600000000000061</v>
      </c>
      <c r="C132" s="18">
        <f t="shared" si="11"/>
        <v>2.4631269306382146E-2</v>
      </c>
      <c r="D132" s="18">
        <f t="shared" si="12"/>
        <v>0.15829645385544608</v>
      </c>
      <c r="E132" s="18">
        <f t="shared" si="19"/>
        <v>0.11223015397118545</v>
      </c>
    </row>
    <row r="133" spans="2:5" x14ac:dyDescent="0.3">
      <c r="B133" s="17">
        <f t="shared" si="17"/>
        <v>2.4400000000000062</v>
      </c>
      <c r="C133" s="18">
        <f t="shared" si="11"/>
        <v>2.0328355738225532E-2</v>
      </c>
      <c r="D133" s="18">
        <f t="shared" si="12"/>
        <v>0.15392563023492611</v>
      </c>
      <c r="E133" s="18">
        <f t="shared" si="19"/>
        <v>0.10289350960768508</v>
      </c>
    </row>
    <row r="134" spans="2:5" x14ac:dyDescent="0.3">
      <c r="B134" s="17">
        <f t="shared" si="17"/>
        <v>2.5200000000000062</v>
      </c>
      <c r="C134" s="18">
        <f t="shared" si="11"/>
        <v>1.66701008373808E-2</v>
      </c>
      <c r="D134" s="18">
        <f t="shared" si="12"/>
        <v>0.14943620288797602</v>
      </c>
      <c r="E134" s="18">
        <f t="shared" si="19"/>
        <v>9.3989237438628595E-2</v>
      </c>
    </row>
    <row r="135" spans="2:5" x14ac:dyDescent="0.3">
      <c r="B135" s="17">
        <f t="shared" si="17"/>
        <v>2.6000000000000063</v>
      </c>
      <c r="C135" s="18">
        <f t="shared" si="11"/>
        <v>1.3582969233685398E-2</v>
      </c>
      <c r="D135" s="18">
        <f t="shared" si="12"/>
        <v>0.144845776380741</v>
      </c>
      <c r="E135" s="18">
        <f t="shared" ref="E135:E144" si="20">_xlfn.NORM.DIST($B135,E$6,E$7,FALSE)</f>
        <v>8.5542117056596895E-2</v>
      </c>
    </row>
    <row r="136" spans="2:5" x14ac:dyDescent="0.3">
      <c r="B136" s="17">
        <f t="shared" si="17"/>
        <v>2.6800000000000064</v>
      </c>
      <c r="C136" s="18">
        <f t="shared" si="11"/>
        <v>1.0996936629405391E-2</v>
      </c>
      <c r="D136" s="18">
        <f t="shared" si="12"/>
        <v>0.14017190541980989</v>
      </c>
      <c r="E136" s="18">
        <f t="shared" si="20"/>
        <v>7.7569963222395691E-2</v>
      </c>
    </row>
    <row r="137" spans="2:5" x14ac:dyDescent="0.3">
      <c r="B137" s="17">
        <f t="shared" si="17"/>
        <v>2.7600000000000064</v>
      </c>
      <c r="C137" s="18">
        <f t="shared" si="11"/>
        <v>8.846454398237065E-3</v>
      </c>
      <c r="D137" s="18">
        <f t="shared" si="12"/>
        <v>0.13543198589916863</v>
      </c>
      <c r="E137" s="18">
        <f t="shared" si="20"/>
        <v>7.0084003046594845E-2</v>
      </c>
    </row>
    <row r="138" spans="2:5" x14ac:dyDescent="0.3">
      <c r="B138" s="17">
        <f t="shared" si="17"/>
        <v>2.8400000000000065</v>
      </c>
      <c r="C138" s="18">
        <f t="shared" si="11"/>
        <v>7.0711048860193169E-3</v>
      </c>
      <c r="D138" s="18">
        <f t="shared" si="12"/>
        <v>0.13064315062477619</v>
      </c>
      <c r="E138" s="18">
        <f t="shared" si="20"/>
        <v>6.3089333178177914E-2</v>
      </c>
    </row>
    <row r="139" spans="2:5" x14ac:dyDescent="0.3">
      <c r="B139" s="17">
        <f t="shared" si="17"/>
        <v>2.9200000000000066</v>
      </c>
      <c r="C139" s="18">
        <f t="shared" si="11"/>
        <v>5.6159835959908588E-3</v>
      </c>
      <c r="D139" s="18">
        <f t="shared" si="12"/>
        <v>0.12582217054905817</v>
      </c>
      <c r="E139" s="18">
        <f t="shared" si="20"/>
        <v>5.6585440036926754E-2</v>
      </c>
    </row>
    <row r="140" spans="2:5" x14ac:dyDescent="0.3">
      <c r="B140" s="17">
        <f t="shared" si="17"/>
        <v>3.0000000000000067</v>
      </c>
      <c r="C140" s="18">
        <f t="shared" si="11"/>
        <v>4.4318484119379208E-3</v>
      </c>
      <c r="D140" s="18">
        <f t="shared" si="12"/>
        <v>0.12098536225957128</v>
      </c>
      <c r="E140" s="18">
        <f t="shared" si="20"/>
        <v>5.05667662026505E-2</v>
      </c>
    </row>
    <row r="141" spans="2:5" x14ac:dyDescent="0.3">
      <c r="B141" s="17">
        <f t="shared" si="17"/>
        <v>3.0800000000000067</v>
      </c>
      <c r="C141" s="18">
        <f t="shared" si="11"/>
        <v>3.4750773778548637E-3</v>
      </c>
      <c r="D141" s="18">
        <f t="shared" si="12"/>
        <v>0.1161485023716827</v>
      </c>
      <c r="E141" s="18">
        <f t="shared" si="20"/>
        <v>4.5023306610939784E-2</v>
      </c>
    </row>
    <row r="142" spans="2:5" x14ac:dyDescent="0.3">
      <c r="B142" s="17">
        <f t="shared" si="17"/>
        <v>3.1600000000000068</v>
      </c>
      <c r="C142" s="18">
        <f t="shared" si="11"/>
        <v>2.7074757568406448E-3</v>
      </c>
      <c r="D142" s="18">
        <f t="shared" si="12"/>
        <v>0.11132674937588015</v>
      </c>
      <c r="E142" s="18">
        <f t="shared" si="20"/>
        <v>3.9941219140059936E-2</v>
      </c>
    </row>
    <row r="143" spans="2:5" x14ac:dyDescent="0.3">
      <c r="B143" s="17">
        <f t="shared" si="17"/>
        <v>3.2400000000000069</v>
      </c>
      <c r="C143" s="18">
        <f t="shared" ref="C143:C206" si="21">_xlfn.NORM.DIST($B143,muA,sigmaA,FALSE)</f>
        <v>2.0959706128578972E-3</v>
      </c>
      <c r="D143" s="18">
        <f t="shared" ref="D143:D206" si="22">_xlfn.NORM.DIST($B143,muB,sigmaB,FALSE)</f>
        <v>0.10653457338785852</v>
      </c>
      <c r="E143" s="18">
        <f t="shared" si="20"/>
        <v>3.5303435437559316E-2</v>
      </c>
    </row>
    <row r="144" spans="2:5" x14ac:dyDescent="0.3">
      <c r="B144" s="17">
        <f t="shared" ref="B144:B175" si="23">B143+$A$16</f>
        <v>3.3200000000000069</v>
      </c>
      <c r="C144" s="18">
        <f t="shared" si="21"/>
        <v>1.6122274719770873E-3</v>
      </c>
      <c r="D144" s="18">
        <f t="shared" si="22"/>
        <v>0.1017856941453793</v>
      </c>
      <c r="E144" s="18">
        <f t="shared" si="20"/>
        <v>3.1090259354632603E-2</v>
      </c>
    </row>
    <row r="145" spans="2:5" x14ac:dyDescent="0.3">
      <c r="B145" s="17">
        <f t="shared" si="23"/>
        <v>3.400000000000007</v>
      </c>
      <c r="C145" s="18">
        <f t="shared" si="21"/>
        <v>1.2322191684729894E-3</v>
      </c>
      <c r="D145" s="18">
        <f t="shared" si="22"/>
        <v>9.7093027491606074E-2</v>
      </c>
      <c r="E145" s="18">
        <f t="shared" ref="E145:E154" si="24">_xlfn.NORM.DIST($B145,E$6,E$7,FALSE)</f>
        <v>2.7279942056723318E-2</v>
      </c>
    </row>
    <row r="146" spans="2:5" x14ac:dyDescent="0.3">
      <c r="B146" s="17">
        <f t="shared" si="23"/>
        <v>3.4800000000000071</v>
      </c>
      <c r="C146" s="18">
        <f t="shared" si="21"/>
        <v>9.3577215692745635E-4</v>
      </c>
      <c r="D146" s="18">
        <f t="shared" si="22"/>
        <v>9.2468640481652251E-2</v>
      </c>
      <c r="E146" s="18">
        <f t="shared" si="24"/>
        <v>2.3849224687697356E-2</v>
      </c>
    </row>
    <row r="147" spans="2:5" x14ac:dyDescent="0.3">
      <c r="B147" s="17">
        <f t="shared" si="23"/>
        <v>3.5600000000000072</v>
      </c>
      <c r="C147" s="18">
        <f t="shared" si="21"/>
        <v>7.0611070048801864E-4</v>
      </c>
      <c r="D147" s="18">
        <f t="shared" si="22"/>
        <v>8.7923715148830781E-2</v>
      </c>
      <c r="E147" s="18">
        <f t="shared" si="24"/>
        <v>2.0773841314041124E-2</v>
      </c>
    </row>
    <row r="148" spans="2:5" x14ac:dyDescent="0.3">
      <c r="B148" s="17">
        <f t="shared" si="23"/>
        <v>3.6400000000000072</v>
      </c>
      <c r="C148" s="18">
        <f t="shared" si="21"/>
        <v>5.2941468309492098E-4</v>
      </c>
      <c r="D148" s="18">
        <f t="shared" si="22"/>
        <v>8.3468520870856516E-2</v>
      </c>
      <c r="E148" s="18">
        <f t="shared" si="24"/>
        <v>1.8028976703321757E-2</v>
      </c>
    </row>
    <row r="149" spans="2:5" x14ac:dyDescent="0.3">
      <c r="B149" s="17">
        <f t="shared" si="23"/>
        <v>3.7200000000000073</v>
      </c>
      <c r="C149" s="18">
        <f t="shared" si="21"/>
        <v>3.9440252496914576E-4</v>
      </c>
      <c r="D149" s="18">
        <f t="shared" si="22"/>
        <v>7.9112395185191128E-2</v>
      </c>
      <c r="E149" s="18">
        <f t="shared" si="24"/>
        <v>1.5589675244040006E-2</v>
      </c>
    </row>
    <row r="150" spans="2:5" x14ac:dyDescent="0.3">
      <c r="B150" s="17">
        <f t="shared" si="23"/>
        <v>3.8000000000000074</v>
      </c>
      <c r="C150" s="18">
        <f t="shared" si="21"/>
        <v>2.9194692579145198E-4</v>
      </c>
      <c r="D150" s="18">
        <f t="shared" si="22"/>
        <v>7.4863732817872036E-2</v>
      </c>
      <c r="E150" s="18">
        <f t="shared" si="24"/>
        <v>1.34311989475462E-2</v>
      </c>
    </row>
    <row r="151" spans="2:5" x14ac:dyDescent="0.3">
      <c r="B151" s="17">
        <f t="shared" si="23"/>
        <v>3.8800000000000074</v>
      </c>
      <c r="C151" s="18">
        <f t="shared" si="21"/>
        <v>2.1472798150036073E-4</v>
      </c>
      <c r="D151" s="18">
        <f t="shared" si="22"/>
        <v>7.0729982612419015E-2</v>
      </c>
      <c r="E151" s="18">
        <f t="shared" si="24"/>
        <v>1.1529333952059398E-2</v>
      </c>
    </row>
    <row r="152" spans="2:5" x14ac:dyDescent="0.3">
      <c r="B152" s="17">
        <f t="shared" si="23"/>
        <v>3.9600000000000075</v>
      </c>
      <c r="C152" s="18">
        <f t="shared" si="21"/>
        <v>1.5692563406552752E-4</v>
      </c>
      <c r="D152" s="18">
        <f t="shared" si="22"/>
        <v>6.671765197550078E-2</v>
      </c>
      <c r="E152" s="18">
        <f t="shared" si="24"/>
        <v>9.8606462489106376E-3</v>
      </c>
    </row>
    <row r="153" spans="2:5" x14ac:dyDescent="0.3">
      <c r="B153" s="17">
        <f t="shared" si="23"/>
        <v>4.0400000000000071</v>
      </c>
      <c r="C153" s="18">
        <f t="shared" si="21"/>
        <v>1.1395139806886138E-4</v>
      </c>
      <c r="D153" s="18">
        <f t="shared" si="22"/>
        <v>6.2832318394543743E-2</v>
      </c>
      <c r="E153" s="18">
        <f t="shared" si="24"/>
        <v>8.4026884562021786E-3</v>
      </c>
    </row>
    <row r="154" spans="2:5" x14ac:dyDescent="0.3">
      <c r="B154" s="17">
        <f t="shared" si="23"/>
        <v>4.1200000000000072</v>
      </c>
      <c r="C154" s="18">
        <f t="shared" si="21"/>
        <v>8.2217816536283509E-5</v>
      </c>
      <c r="D154" s="18">
        <f t="shared" si="22"/>
        <v>5.90786475297908E-2</v>
      </c>
      <c r="E154" s="18">
        <f t="shared" si="24"/>
        <v>7.1341603681210029E-3</v>
      </c>
    </row>
    <row r="155" spans="2:5" x14ac:dyDescent="0.3">
      <c r="B155" s="17">
        <f t="shared" si="23"/>
        <v>4.2000000000000073</v>
      </c>
      <c r="C155" s="18">
        <f t="shared" si="21"/>
        <v>5.8943067756538066E-5</v>
      </c>
      <c r="D155" s="18">
        <f t="shared" si="22"/>
        <v>5.5460417339727459E-2</v>
      </c>
      <c r="E155" s="18">
        <f t="shared" ref="E155:E164" si="25">_xlfn.NORM.DIST($B155,E$6,E$7,FALSE)</f>
        <v>6.0350267099532479E-3</v>
      </c>
    </row>
    <row r="156" spans="2:5" x14ac:dyDescent="0.3">
      <c r="B156" s="17">
        <f t="shared" si="23"/>
        <v>4.2800000000000074</v>
      </c>
      <c r="C156" s="18">
        <f t="shared" si="21"/>
        <v>4.198750293161598E-5</v>
      </c>
      <c r="D156" s="18">
        <f t="shared" si="22"/>
        <v>5.1980547664381788E-2</v>
      </c>
      <c r="E156" s="18">
        <f t="shared" si="25"/>
        <v>5.0865960368652414E-3</v>
      </c>
    </row>
    <row r="157" spans="2:5" x14ac:dyDescent="0.3">
      <c r="B157" s="17">
        <f t="shared" si="23"/>
        <v>4.3600000000000074</v>
      </c>
      <c r="C157" s="18">
        <f t="shared" si="21"/>
        <v>2.971856767644125E-5</v>
      </c>
      <c r="D157" s="18">
        <f t="shared" si="22"/>
        <v>4.864113466573345E-2</v>
      </c>
      <c r="E157" s="18">
        <f t="shared" si="25"/>
        <v>4.2715650416502013E-3</v>
      </c>
    </row>
    <row r="158" spans="2:5" x14ac:dyDescent="0.3">
      <c r="B158" s="17">
        <f t="shared" si="23"/>
        <v>4.4400000000000075</v>
      </c>
      <c r="C158" s="18">
        <f t="shared" si="21"/>
        <v>2.090047790044974E-5</v>
      </c>
      <c r="D158" s="18">
        <f t="shared" si="22"/>
        <v>4.544348950814113E-2</v>
      </c>
      <c r="E158" s="18">
        <f t="shared" si="25"/>
        <v>3.5740326999558515E-3</v>
      </c>
    </row>
    <row r="159" spans="2:5" x14ac:dyDescent="0.3">
      <c r="B159" s="17">
        <f t="shared" si="23"/>
        <v>4.5200000000000076</v>
      </c>
      <c r="C159" s="18">
        <f t="shared" si="21"/>
        <v>1.4605118139152395E-5</v>
      </c>
      <c r="D159" s="18">
        <f t="shared" si="22"/>
        <v>4.2388180654010836E-2</v>
      </c>
      <c r="E159" s="18">
        <f t="shared" si="25"/>
        <v>2.9794887010056851E-3</v>
      </c>
    </row>
    <row r="160" spans="2:5" x14ac:dyDescent="0.3">
      <c r="B160" s="17">
        <f t="shared" si="23"/>
        <v>4.6000000000000076</v>
      </c>
      <c r="C160" s="18">
        <f t="shared" si="21"/>
        <v>1.0140852065486381E-5</v>
      </c>
      <c r="D160" s="18">
        <f t="shared" si="22"/>
        <v>3.9475079150446818E-2</v>
      </c>
      <c r="E160" s="18">
        <f t="shared" si="25"/>
        <v>2.4747805092396919E-3</v>
      </c>
    </row>
    <row r="161" spans="2:5" x14ac:dyDescent="0.3">
      <c r="B161" s="17">
        <f t="shared" si="23"/>
        <v>4.6800000000000077</v>
      </c>
      <c r="C161" s="18">
        <f t="shared" si="21"/>
        <v>6.9962341432701441E-6</v>
      </c>
      <c r="D161" s="18">
        <f t="shared" si="22"/>
        <v>3.6703406290828182E-2</v>
      </c>
      <c r="E161" s="18">
        <f t="shared" si="25"/>
        <v>2.0480632000395862E-3</v>
      </c>
    </row>
    <row r="162" spans="2:5" x14ac:dyDescent="0.3">
      <c r="B162" s="17">
        <f t="shared" si="23"/>
        <v>4.7600000000000078</v>
      </c>
      <c r="C162" s="18">
        <f t="shared" si="21"/>
        <v>4.7959510215523421E-6</v>
      </c>
      <c r="D162" s="18">
        <f t="shared" si="22"/>
        <v>3.4071783050522046E-2</v>
      </c>
      <c r="E162" s="18">
        <f t="shared" si="25"/>
        <v>1.6887359329212045E-3</v>
      </c>
    </row>
    <row r="163" spans="2:5" x14ac:dyDescent="0.3">
      <c r="B163" s="17">
        <f t="shared" si="23"/>
        <v>4.8400000000000079</v>
      </c>
      <c r="C163" s="18">
        <f t="shared" si="21"/>
        <v>3.2666729639931473E-6</v>
      </c>
      <c r="D163" s="18">
        <f t="shared" si="22"/>
        <v>3.1578280717599091E-2</v>
      </c>
      <c r="E163" s="18">
        <f t="shared" si="25"/>
        <v>1.3873685893985173E-3</v>
      </c>
    </row>
    <row r="164" spans="2:5" x14ac:dyDescent="0.3">
      <c r="B164" s="17">
        <f t="shared" si="23"/>
        <v>4.9200000000000079</v>
      </c>
      <c r="C164" s="18">
        <f t="shared" si="21"/>
        <v>2.2108388745683348E-6</v>
      </c>
      <c r="D164" s="18">
        <f t="shared" si="22"/>
        <v>2.9220472166725502E-2</v>
      </c>
      <c r="E164" s="18">
        <f t="shared" si="25"/>
        <v>1.1356217296464425E-3</v>
      </c>
    </row>
    <row r="165" spans="2:5" x14ac:dyDescent="0.3">
      <c r="B165" s="17">
        <f t="shared" si="23"/>
        <v>5.000000000000008</v>
      </c>
      <c r="C165" s="18">
        <f t="shared" si="21"/>
        <v>1.4867195147342397E-6</v>
      </c>
      <c r="D165" s="18">
        <f t="shared" si="22"/>
        <v>2.6995483256593813E-2</v>
      </c>
      <c r="E165" s="18">
        <f t="shared" ref="E165:E174" si="26">_xlfn.NORM.DIST($B165,E$6,E$7,FALSE)</f>
        <v>9.2616262953878451E-4</v>
      </c>
    </row>
    <row r="166" spans="2:5" x14ac:dyDescent="0.3">
      <c r="B166" s="17">
        <f t="shared" si="23"/>
        <v>5.0800000000000081</v>
      </c>
      <c r="C166" s="18">
        <f t="shared" si="21"/>
        <v>9.9339394133987137E-7</v>
      </c>
      <c r="D166" s="18">
        <f t="shared" si="22"/>
        <v>2.4900043867535176E-2</v>
      </c>
      <c r="E166" s="18">
        <f t="shared" si="26"/>
        <v>7.5257976268905261E-4</v>
      </c>
    </row>
    <row r="167" spans="2:5" x14ac:dyDescent="0.3">
      <c r="B167" s="17">
        <f t="shared" si="23"/>
        <v>5.1600000000000081</v>
      </c>
      <c r="C167" s="18">
        <f t="shared" si="21"/>
        <v>6.5952989685749467E-7</v>
      </c>
      <c r="D167" s="18">
        <f t="shared" si="22"/>
        <v>2.2930538135527249E-2</v>
      </c>
      <c r="E167" s="18">
        <f t="shared" si="26"/>
        <v>6.0929770335782193E-4</v>
      </c>
    </row>
    <row r="168" spans="2:5" x14ac:dyDescent="0.3">
      <c r="B168" s="17">
        <f t="shared" si="23"/>
        <v>5.2400000000000082</v>
      </c>
      <c r="C168" s="18">
        <f t="shared" si="21"/>
        <v>4.3507886075149313E-7</v>
      </c>
      <c r="D168" s="18">
        <f t="shared" si="22"/>
        <v>2.1083053480884975E-2</v>
      </c>
      <c r="E168" s="18">
        <f t="shared" si="26"/>
        <v>4.9149405558446008E-4</v>
      </c>
    </row>
    <row r="169" spans="2:5" x14ac:dyDescent="0.3">
      <c r="B169" s="17">
        <f t="shared" si="23"/>
        <v>5.3200000000000083</v>
      </c>
      <c r="C169" s="18">
        <f t="shared" si="21"/>
        <v>2.8518192322838544E-7</v>
      </c>
      <c r="D169" s="18">
        <f t="shared" si="22"/>
        <v>1.9353428073727631E-2</v>
      </c>
      <c r="E169" s="18">
        <f t="shared" si="26"/>
        <v>3.9501966930226626E-4</v>
      </c>
    </row>
    <row r="170" spans="2:5" x14ac:dyDescent="0.3">
      <c r="B170" s="17">
        <f t="shared" si="23"/>
        <v>5.4000000000000083</v>
      </c>
      <c r="C170" s="18">
        <f t="shared" si="21"/>
        <v>1.8573618445552105E-7</v>
      </c>
      <c r="D170" s="18">
        <f t="shared" si="22"/>
        <v>1.7737296423115553E-2</v>
      </c>
      <c r="E170" s="18">
        <f t="shared" si="26"/>
        <v>3.1632309089472033E-4</v>
      </c>
    </row>
    <row r="171" spans="2:5" x14ac:dyDescent="0.3">
      <c r="B171" s="17">
        <f t="shared" si="23"/>
        <v>5.4800000000000084</v>
      </c>
      <c r="C171" s="18">
        <f t="shared" si="21"/>
        <v>1.2019642790627696E-7</v>
      </c>
      <c r="D171" s="18">
        <f t="shared" si="22"/>
        <v>1.6230132821848577E-2</v>
      </c>
      <c r="E171" s="18">
        <f t="shared" si="26"/>
        <v>2.5237991700195609E-4</v>
      </c>
    </row>
    <row r="172" spans="2:5" x14ac:dyDescent="0.3">
      <c r="B172" s="17">
        <f t="shared" si="23"/>
        <v>5.5600000000000085</v>
      </c>
      <c r="C172" s="18">
        <f t="shared" si="21"/>
        <v>7.7287118885225359E-8</v>
      </c>
      <c r="D172" s="18">
        <f t="shared" si="22"/>
        <v>1.4827292423670495E-2</v>
      </c>
      <c r="E172" s="18">
        <f t="shared" si="26"/>
        <v>2.0062747797345871E-4</v>
      </c>
    </row>
    <row r="173" spans="2:5" x14ac:dyDescent="0.3">
      <c r="B173" s="17">
        <f t="shared" si="23"/>
        <v>5.6400000000000086</v>
      </c>
      <c r="C173" s="18">
        <f t="shared" si="21"/>
        <v>4.9379102271102028E-8</v>
      </c>
      <c r="D173" s="18">
        <f t="shared" si="22"/>
        <v>1.3524049773440756E-2</v>
      </c>
      <c r="E173" s="18">
        <f t="shared" si="26"/>
        <v>1.5890507127782011E-4</v>
      </c>
    </row>
    <row r="174" spans="2:5" x14ac:dyDescent="0.3">
      <c r="B174" s="17">
        <f t="shared" si="23"/>
        <v>5.7200000000000086</v>
      </c>
      <c r="C174" s="18">
        <f t="shared" si="21"/>
        <v>3.1347273817918122E-8</v>
      </c>
      <c r="D174" s="18">
        <f t="shared" si="22"/>
        <v>1.2315634653191122E-2</v>
      </c>
      <c r="E174" s="18">
        <f t="shared" si="26"/>
        <v>1.2539979431105071E-4</v>
      </c>
    </row>
    <row r="175" spans="2:5" x14ac:dyDescent="0.3">
      <c r="B175" s="17">
        <f t="shared" si="23"/>
        <v>5.8000000000000087</v>
      </c>
      <c r="C175" s="18">
        <f t="shared" si="21"/>
        <v>1.9773196406243689E-8</v>
      </c>
      <c r="D175" s="18">
        <f t="shared" si="22"/>
        <v>1.119726514742133E-2</v>
      </c>
      <c r="E175" s="18">
        <f t="shared" ref="E175:E184" si="27">_xlfn.NORM.DIST($B175,E$6,E$7,FALSE)</f>
        <v>9.8597888352654274E-5</v>
      </c>
    </row>
    <row r="176" spans="2:5" x14ac:dyDescent="0.3">
      <c r="B176" s="17">
        <f t="shared" ref="B176:B207" si="28">B175+$A$16</f>
        <v>5.8800000000000088</v>
      </c>
      <c r="C176" s="18">
        <f t="shared" si="21"/>
        <v>1.2392944314149468E-8</v>
      </c>
      <c r="D176" s="18">
        <f t="shared" si="22"/>
        <v>1.0164177869112809E-2</v>
      </c>
      <c r="E176" s="18">
        <f t="shared" si="27"/>
        <v>7.7241398195916996E-5</v>
      </c>
    </row>
    <row r="177" spans="2:5" x14ac:dyDescent="0.3">
      <c r="B177" s="17">
        <f t="shared" si="28"/>
        <v>5.9600000000000088</v>
      </c>
      <c r="C177" s="18">
        <f t="shared" si="21"/>
        <v>7.7177842125701169E-9</v>
      </c>
      <c r="D177" s="18">
        <f t="shared" si="22"/>
        <v>9.2116553234309253E-3</v>
      </c>
      <c r="E177" s="18">
        <f t="shared" si="27"/>
        <v>6.0289872082272917E-5</v>
      </c>
    </row>
    <row r="178" spans="2:5" x14ac:dyDescent="0.3">
      <c r="B178" s="17">
        <f t="shared" si="28"/>
        <v>6.0400000000000089</v>
      </c>
      <c r="C178" s="18">
        <f t="shared" si="21"/>
        <v>4.7756366922820211E-9</v>
      </c>
      <c r="D178" s="18">
        <f t="shared" si="22"/>
        <v>8.3350504186904349E-3</v>
      </c>
      <c r="E178" s="18">
        <f t="shared" si="27"/>
        <v>4.6886770621626568E-5</v>
      </c>
    </row>
    <row r="179" spans="2:5" x14ac:dyDescent="0.3">
      <c r="B179" s="17">
        <f t="shared" si="28"/>
        <v>6.120000000000009</v>
      </c>
      <c r="C179" s="18">
        <f t="shared" si="21"/>
        <v>2.9362325198237642E-9</v>
      </c>
      <c r="D179" s="18">
        <f t="shared" si="22"/>
        <v>7.5298081636886388E-3</v>
      </c>
      <c r="E179" s="18">
        <f t="shared" si="27"/>
        <v>3.6330217938673204E-5</v>
      </c>
    </row>
    <row r="180" spans="2:5" x14ac:dyDescent="0.3">
      <c r="B180" s="17">
        <f t="shared" si="28"/>
        <v>6.2000000000000091</v>
      </c>
      <c r="C180" s="18">
        <f t="shared" si="21"/>
        <v>1.7937839079639841E-9</v>
      </c>
      <c r="D180" s="18">
        <f t="shared" si="22"/>
        <v>6.7914846168427275E-3</v>
      </c>
      <c r="E180" s="18">
        <f t="shared" si="27"/>
        <v>2.804770997833125E-5</v>
      </c>
    </row>
    <row r="181" spans="2:5" x14ac:dyDescent="0.3">
      <c r="B181" s="17">
        <f t="shared" si="28"/>
        <v>6.2800000000000091</v>
      </c>
      <c r="C181" s="18">
        <f t="shared" si="21"/>
        <v>1.088855673277002E-9</v>
      </c>
      <c r="D181" s="18">
        <f t="shared" si="22"/>
        <v>6.1157631756389146E-3</v>
      </c>
      <c r="E181" s="18">
        <f t="shared" si="27"/>
        <v>2.1574390535683176E-5</v>
      </c>
    </row>
    <row r="182" spans="2:5" x14ac:dyDescent="0.3">
      <c r="B182" s="17">
        <f t="shared" si="28"/>
        <v>6.3600000000000092</v>
      </c>
      <c r="C182" s="18">
        <f t="shared" si="21"/>
        <v>6.5673630963607057E-10</v>
      </c>
      <c r="D182" s="18">
        <f t="shared" si="22"/>
        <v>5.4984683147027225E-3</v>
      </c>
      <c r="E182" s="18">
        <f t="shared" si="27"/>
        <v>1.653451220227089E-5</v>
      </c>
    </row>
    <row r="183" spans="2:5" x14ac:dyDescent="0.3">
      <c r="B183" s="17">
        <f t="shared" si="28"/>
        <v>6.4400000000000093</v>
      </c>
      <c r="C183" s="18">
        <f t="shared" si="21"/>
        <v>3.935793040901202E-10</v>
      </c>
      <c r="D183" s="18">
        <f t="shared" si="22"/>
        <v>4.9355768973755069E-3</v>
      </c>
      <c r="E183" s="18">
        <f t="shared" si="27"/>
        <v>1.2625714395760127E-5</v>
      </c>
    </row>
    <row r="184" spans="2:5" x14ac:dyDescent="0.3">
      <c r="B184" s="17">
        <f t="shared" si="28"/>
        <v>6.5200000000000093</v>
      </c>
      <c r="C184" s="18">
        <f t="shared" si="21"/>
        <v>2.3436566877930577E-10</v>
      </c>
      <c r="D184" s="18">
        <f t="shared" si="22"/>
        <v>4.423227199118555E-3</v>
      </c>
      <c r="E184" s="18">
        <f t="shared" si="27"/>
        <v>9.6057716445521702E-6</v>
      </c>
    </row>
    <row r="185" spans="2:5" x14ac:dyDescent="0.3">
      <c r="B185" s="17">
        <f t="shared" si="28"/>
        <v>6.6000000000000094</v>
      </c>
      <c r="C185" s="18">
        <f t="shared" si="21"/>
        <v>1.3866799941652283E-10</v>
      </c>
      <c r="D185" s="18">
        <f t="shared" si="22"/>
        <v>3.9577257914899296E-3</v>
      </c>
      <c r="E185" s="18">
        <f t="shared" ref="E185:E194" si="29">_xlfn.NORM.DIST($B185,E$6,E$7,FALSE)</f>
        <v>7.2814903478159311E-6</v>
      </c>
    </row>
    <row r="186" spans="2:5" x14ac:dyDescent="0.3">
      <c r="B186" s="17">
        <f t="shared" si="28"/>
        <v>6.6800000000000095</v>
      </c>
      <c r="C186" s="18">
        <f t="shared" si="21"/>
        <v>8.152278752699543E-11</v>
      </c>
      <c r="D186" s="18">
        <f t="shared" si="22"/>
        <v>3.5355524430096771E-3</v>
      </c>
      <c r="E186" s="18">
        <f t="shared" si="29"/>
        <v>5.4994596671588313E-6</v>
      </c>
    </row>
    <row r="187" spans="2:5" x14ac:dyDescent="0.3">
      <c r="B187" s="17">
        <f t="shared" si="28"/>
        <v>6.7600000000000096</v>
      </c>
      <c r="C187" s="18">
        <f t="shared" si="21"/>
        <v>4.7621416319153522E-11</v>
      </c>
      <c r="D187" s="18">
        <f t="shared" si="22"/>
        <v>3.1533631981329191E-3</v>
      </c>
      <c r="E187" s="18">
        <f t="shared" si="29"/>
        <v>4.1383906812753692E-6</v>
      </c>
    </row>
    <row r="188" spans="2:5" x14ac:dyDescent="0.3">
      <c r="B188" s="17">
        <f t="shared" si="28"/>
        <v>6.8400000000000096</v>
      </c>
      <c r="C188" s="18">
        <f t="shared" si="21"/>
        <v>2.7640513661677676E-11</v>
      </c>
      <c r="D188" s="18">
        <f t="shared" si="22"/>
        <v>2.8079917979954446E-3</v>
      </c>
      <c r="E188" s="18">
        <f t="shared" si="29"/>
        <v>3.1028063865002253E-6</v>
      </c>
    </row>
    <row r="189" spans="2:5" x14ac:dyDescent="0.3">
      <c r="B189" s="17">
        <f t="shared" si="28"/>
        <v>6.9200000000000097</v>
      </c>
      <c r="C189" s="18">
        <f t="shared" si="21"/>
        <v>1.594081151588281E-11</v>
      </c>
      <c r="D189" s="18">
        <f t="shared" si="22"/>
        <v>2.4964496068061526E-3</v>
      </c>
      <c r="E189" s="18">
        <f t="shared" si="29"/>
        <v>2.3178727456640535E-6</v>
      </c>
    </row>
    <row r="190" spans="2:5" x14ac:dyDescent="0.3">
      <c r="B190" s="17">
        <f t="shared" si="28"/>
        <v>7.0000000000000098</v>
      </c>
      <c r="C190" s="18">
        <f t="shared" si="21"/>
        <v>9.1347204083639765E-12</v>
      </c>
      <c r="D190" s="18">
        <f t="shared" si="22"/>
        <v>2.2159242059689721E-3</v>
      </c>
      <c r="E190" s="18">
        <f t="shared" si="29"/>
        <v>1.7251871879735293E-6</v>
      </c>
    </row>
    <row r="191" spans="2:5" x14ac:dyDescent="0.3">
      <c r="B191" s="17">
        <f t="shared" si="28"/>
        <v>7.0800000000000098</v>
      </c>
      <c r="C191" s="18">
        <f t="shared" si="21"/>
        <v>5.20116470752682E-12</v>
      </c>
      <c r="D191" s="18">
        <f t="shared" si="22"/>
        <v>1.9637768144623599E-3</v>
      </c>
      <c r="E191" s="18">
        <f t="shared" si="29"/>
        <v>1.2793653450518824E-6</v>
      </c>
    </row>
    <row r="192" spans="2:5" x14ac:dyDescent="0.3">
      <c r="B192" s="17">
        <f t="shared" si="28"/>
        <v>7.1600000000000099</v>
      </c>
      <c r="C192" s="18">
        <f t="shared" si="21"/>
        <v>2.9425677446964943E-12</v>
      </c>
      <c r="D192" s="18">
        <f t="shared" si="22"/>
        <v>1.7375386889274429E-3</v>
      </c>
      <c r="E192" s="18">
        <f t="shared" si="29"/>
        <v>9.4528912997657809E-7</v>
      </c>
    </row>
    <row r="193" spans="2:5" x14ac:dyDescent="0.3">
      <c r="B193" s="17">
        <f t="shared" si="28"/>
        <v>7.24000000000001</v>
      </c>
      <c r="C193" s="18">
        <f t="shared" si="21"/>
        <v>1.6541422271609854E-12</v>
      </c>
      <c r="D193" s="18">
        <f t="shared" si="22"/>
        <v>1.534906650552347E-3</v>
      </c>
      <c r="E193" s="18">
        <f t="shared" si="29"/>
        <v>6.9589941002242166E-7</v>
      </c>
    </row>
    <row r="194" spans="2:5" x14ac:dyDescent="0.3">
      <c r="B194" s="17">
        <f t="shared" si="28"/>
        <v>7.3200000000000101</v>
      </c>
      <c r="C194" s="18">
        <f t="shared" si="21"/>
        <v>9.2393143256359462E-13</v>
      </c>
      <c r="D194" s="18">
        <f t="shared" si="22"/>
        <v>1.3537378784203296E-3</v>
      </c>
      <c r="E194" s="18">
        <f t="shared" si="29"/>
        <v>5.1043447096993427E-7</v>
      </c>
    </row>
    <row r="195" spans="2:5" x14ac:dyDescent="0.3">
      <c r="B195" s="17">
        <f t="shared" si="28"/>
        <v>7.4000000000000101</v>
      </c>
      <c r="C195" s="18">
        <f t="shared" si="21"/>
        <v>5.1277536367962984E-13</v>
      </c>
      <c r="D195" s="18">
        <f t="shared" si="22"/>
        <v>1.1920441007324022E-3</v>
      </c>
      <c r="E195" s="18">
        <f t="shared" ref="E195:E204" si="30">_xlfn.NORM.DIST($B195,E$6,E$7,FALSE)</f>
        <v>3.7303127634403966E-7</v>
      </c>
    </row>
    <row r="196" spans="2:5" x14ac:dyDescent="0.3">
      <c r="B196" s="17">
        <f t="shared" si="28"/>
        <v>7.4800000000000102</v>
      </c>
      <c r="C196" s="18">
        <f t="shared" si="21"/>
        <v>2.8277113542206153E-13</v>
      </c>
      <c r="D196" s="18">
        <f t="shared" si="22"/>
        <v>1.0479853064289551E-3</v>
      </c>
      <c r="E196" s="18">
        <f t="shared" si="30"/>
        <v>2.7162029698506417E-7</v>
      </c>
    </row>
    <row r="197" spans="2:5" x14ac:dyDescent="0.3">
      <c r="B197" s="17">
        <f t="shared" si="28"/>
        <v>7.5600000000000103</v>
      </c>
      <c r="C197" s="18">
        <f t="shared" si="21"/>
        <v>1.5493998706284821E-13</v>
      </c>
      <c r="D197" s="18">
        <f t="shared" si="22"/>
        <v>9.1986309041212412E-4</v>
      </c>
      <c r="E197" s="18">
        <f t="shared" si="30"/>
        <v>1.9705656871298547E-7</v>
      </c>
    </row>
    <row r="198" spans="2:5" x14ac:dyDescent="0.3">
      <c r="B198" s="17">
        <f t="shared" si="28"/>
        <v>7.6400000000000103</v>
      </c>
      <c r="C198" s="18">
        <f t="shared" si="21"/>
        <v>8.4355318664098694E-14</v>
      </c>
      <c r="D198" s="18">
        <f t="shared" si="22"/>
        <v>8.06113735988548E-4</v>
      </c>
      <c r="E198" s="18">
        <f t="shared" si="30"/>
        <v>1.4243979365649592E-7</v>
      </c>
    </row>
    <row r="199" spans="2:5" x14ac:dyDescent="0.3">
      <c r="B199" s="17">
        <f t="shared" si="28"/>
        <v>7.7200000000000104</v>
      </c>
      <c r="C199" s="18">
        <f t="shared" si="21"/>
        <v>4.5633306778375222E-14</v>
      </c>
      <c r="D199" s="18">
        <f t="shared" si="22"/>
        <v>7.0530112847067927E-4</v>
      </c>
      <c r="E199" s="18">
        <f t="shared" si="30"/>
        <v>1.0258490922536851E-7</v>
      </c>
    </row>
    <row r="200" spans="2:5" x14ac:dyDescent="0.3">
      <c r="B200" s="17">
        <f t="shared" si="28"/>
        <v>7.8000000000000105</v>
      </c>
      <c r="C200" s="18">
        <f t="shared" si="21"/>
        <v>2.4528552856962235E-14</v>
      </c>
      <c r="D200" s="18">
        <f t="shared" si="22"/>
        <v>6.1610958423649847E-4</v>
      </c>
      <c r="E200" s="18">
        <f t="shared" si="30"/>
        <v>7.3611784179998718E-8</v>
      </c>
    </row>
    <row r="201" spans="2:5" x14ac:dyDescent="0.3">
      <c r="B201" s="17">
        <f t="shared" si="28"/>
        <v>7.8800000000000106</v>
      </c>
      <c r="C201" s="18">
        <f t="shared" si="21"/>
        <v>1.3100335776937822E-14</v>
      </c>
      <c r="D201" s="18">
        <f t="shared" si="22"/>
        <v>5.3733667007685774E-4</v>
      </c>
      <c r="E201" s="18">
        <f t="shared" si="30"/>
        <v>5.2628735187415588E-8</v>
      </c>
    </row>
    <row r="202" spans="2:5" x14ac:dyDescent="0.3">
      <c r="B202" s="17">
        <f t="shared" si="28"/>
        <v>7.9600000000000106</v>
      </c>
      <c r="C202" s="18">
        <f t="shared" si="21"/>
        <v>6.9520589097098071E-15</v>
      </c>
      <c r="D202" s="18">
        <f t="shared" si="22"/>
        <v>4.6788607846373116E-4</v>
      </c>
      <c r="E202" s="18">
        <f t="shared" si="30"/>
        <v>3.7489551478659569E-8</v>
      </c>
    </row>
    <row r="203" spans="2:5" x14ac:dyDescent="0.3">
      <c r="B203" s="17">
        <f t="shared" si="28"/>
        <v>8.0400000000000098</v>
      </c>
      <c r="C203" s="18">
        <f t="shared" si="21"/>
        <v>3.6657679945909811E-15</v>
      </c>
      <c r="D203" s="18">
        <f t="shared" si="22"/>
        <v>4.0676061554089694E-4</v>
      </c>
      <c r="E203" s="18">
        <f t="shared" si="30"/>
        <v>2.6607819109030575E-8</v>
      </c>
    </row>
    <row r="204" spans="2:5" x14ac:dyDescent="0.3">
      <c r="B204" s="17">
        <f t="shared" si="28"/>
        <v>8.1200000000000099</v>
      </c>
      <c r="C204" s="18">
        <f t="shared" si="21"/>
        <v>1.9206004311443907E-15</v>
      </c>
      <c r="D204" s="18">
        <f t="shared" si="22"/>
        <v>3.5305535024401181E-4</v>
      </c>
      <c r="E204" s="18">
        <f t="shared" si="30"/>
        <v>1.8815685147529221E-8</v>
      </c>
    </row>
    <row r="205" spans="2:5" x14ac:dyDescent="0.3">
      <c r="B205" s="17">
        <f t="shared" si="28"/>
        <v>8.2000000000000099</v>
      </c>
      <c r="C205" s="18">
        <f t="shared" si="21"/>
        <v>9.9983787484963254E-16</v>
      </c>
      <c r="D205" s="18">
        <f t="shared" si="22"/>
        <v>3.0595096505688053E-4</v>
      </c>
      <c r="E205" s="18">
        <f t="shared" ref="E205:E215" si="31">_xlfn.NORM.DIST($B205,E$6,E$7,FALSE)</f>
        <v>1.325691641431209E-8</v>
      </c>
    </row>
    <row r="206" spans="2:5" x14ac:dyDescent="0.3">
      <c r="B206" s="17">
        <f t="shared" si="28"/>
        <v>8.28000000000001</v>
      </c>
      <c r="C206" s="18">
        <f t="shared" si="21"/>
        <v>5.1718111933301017E-16</v>
      </c>
      <c r="D206" s="18">
        <f t="shared" si="22"/>
        <v>2.6470734154746266E-4</v>
      </c>
      <c r="E206" s="18">
        <f t="shared" si="31"/>
        <v>9.3062930033056154E-9</v>
      </c>
    </row>
    <row r="207" spans="2:5" x14ac:dyDescent="0.3">
      <c r="B207" s="17">
        <f t="shared" si="28"/>
        <v>8.3600000000000101</v>
      </c>
      <c r="C207" s="18">
        <f t="shared" ref="C207:C215" si="32">_xlfn.NORM.DIST($B207,muA,sigmaA,FALSE)</f>
        <v>2.6581302303291584E-16</v>
      </c>
      <c r="D207" s="18">
        <f t="shared" ref="D207:D215" si="33">_xlfn.NORM.DIST($B207,muB,sigmaB,FALSE)</f>
        <v>2.2865740702992415E-4</v>
      </c>
      <c r="E207" s="18">
        <f t="shared" si="31"/>
        <v>6.5091255563675736E-9</v>
      </c>
    </row>
    <row r="208" spans="2:5" x14ac:dyDescent="0.3">
      <c r="B208" s="17">
        <f t="shared" ref="B208:B214" si="34">B207+$A$16</f>
        <v>8.4400000000000102</v>
      </c>
      <c r="C208" s="18">
        <f t="shared" si="32"/>
        <v>1.357470382217088E-16</v>
      </c>
      <c r="D208" s="18">
        <f t="shared" si="33"/>
        <v>1.9720126248457461E-4</v>
      </c>
      <c r="E208" s="18">
        <f t="shared" si="31"/>
        <v>4.5360757540614885E-9</v>
      </c>
    </row>
    <row r="209" spans="2:5" x14ac:dyDescent="0.3">
      <c r="B209" s="17">
        <f t="shared" si="34"/>
        <v>8.5200000000000102</v>
      </c>
      <c r="C209" s="18">
        <f t="shared" si="32"/>
        <v>6.8881879111195821E-17</v>
      </c>
      <c r="D209" s="18">
        <f t="shared" si="33"/>
        <v>1.6980060624182408E-4</v>
      </c>
      <c r="E209" s="18">
        <f t="shared" si="31"/>
        <v>3.1495584453003932E-9</v>
      </c>
    </row>
    <row r="210" spans="2:5" x14ac:dyDescent="0.3">
      <c r="B210" s="17">
        <f t="shared" si="34"/>
        <v>8.6000000000000103</v>
      </c>
      <c r="C210" s="18">
        <f t="shared" si="32"/>
        <v>3.4729627485658871E-17</v>
      </c>
      <c r="D210" s="18">
        <f t="shared" si="33"/>
        <v>1.4597346289572729E-4</v>
      </c>
      <c r="E210" s="18">
        <f t="shared" si="31"/>
        <v>2.1788672334287271E-9</v>
      </c>
    </row>
    <row r="211" spans="2:5" x14ac:dyDescent="0.3">
      <c r="B211" s="17">
        <f t="shared" si="34"/>
        <v>8.6800000000000104</v>
      </c>
      <c r="C211" s="18">
        <f t="shared" si="32"/>
        <v>1.7398659111404616E-17</v>
      </c>
      <c r="D211" s="18">
        <f t="shared" si="33"/>
        <v>1.2528922244542783E-4</v>
      </c>
      <c r="E211" s="18">
        <f t="shared" si="31"/>
        <v>1.5018397226273585E-9</v>
      </c>
    </row>
    <row r="212" spans="2:5" x14ac:dyDescent="0.3">
      <c r="B212" s="17">
        <f t="shared" si="34"/>
        <v>8.7600000000000104</v>
      </c>
      <c r="C212" s="18">
        <f t="shared" si="32"/>
        <v>8.6606791274923575E-18</v>
      </c>
      <c r="D212" s="18">
        <f t="shared" si="33"/>
        <v>1.0736399075018131E-4</v>
      </c>
      <c r="E212" s="18">
        <f t="shared" si="31"/>
        <v>1.0314023795861727E-9</v>
      </c>
    </row>
    <row r="213" spans="2:5" x14ac:dyDescent="0.3">
      <c r="B213" s="17">
        <f t="shared" si="34"/>
        <v>8.8400000000000105</v>
      </c>
      <c r="C213" s="18">
        <f t="shared" si="32"/>
        <v>4.2835972719622515E-18</v>
      </c>
      <c r="D213" s="18">
        <f t="shared" si="33"/>
        <v>9.1856249001226589E-5</v>
      </c>
      <c r="E213" s="18">
        <f t="shared" si="31"/>
        <v>7.0573944925324318E-10</v>
      </c>
    </row>
    <row r="214" spans="2:5" x14ac:dyDescent="0.3">
      <c r="B214" s="17">
        <f t="shared" si="34"/>
        <v>8.9200000000000106</v>
      </c>
      <c r="C214" s="18">
        <f t="shared" si="32"/>
        <v>2.1051635091806506E-18</v>
      </c>
      <c r="D214" s="18">
        <f t="shared" si="33"/>
        <v>7.8462817032764451E-5</v>
      </c>
      <c r="E214" s="18">
        <f t="shared" si="31"/>
        <v>4.8114101760969148E-10</v>
      </c>
    </row>
    <row r="215" spans="2:5" x14ac:dyDescent="0.3">
      <c r="B215" s="7">
        <f>MAX(muA+(4*sigmaA),muB+(4*sigmaB))</f>
        <v>9</v>
      </c>
      <c r="C215" s="18">
        <f t="shared" si="32"/>
        <v>1.0279773571668917E-18</v>
      </c>
      <c r="D215" s="18">
        <f t="shared" si="33"/>
        <v>6.6915112882442684E-5</v>
      </c>
      <c r="E215" s="18">
        <f t="shared" si="31"/>
        <v>3.2682260975812071E-10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F3EFB2-938A-496C-81F1-F846528B64B5}">
  <sheetPr codeName="Sheet13"/>
  <dimension ref="A1:P248"/>
  <sheetViews>
    <sheetView zoomScale="60" zoomScaleNormal="60" workbookViewId="0">
      <selection activeCell="I11" sqref="I11"/>
    </sheetView>
  </sheetViews>
  <sheetFormatPr defaultColWidth="8.6640625" defaultRowHeight="14.4" x14ac:dyDescent="0.3"/>
  <cols>
    <col min="1" max="1" width="16.6640625" style="74" customWidth="1"/>
    <col min="2" max="4" width="8.6640625" style="59"/>
    <col min="5" max="8" width="8.6640625" style="1"/>
    <col min="9" max="9" width="9.5546875" style="1" customWidth="1"/>
    <col min="10" max="10" width="9.33203125" style="1" customWidth="1"/>
    <col min="11" max="11" width="8.33203125" style="1" customWidth="1"/>
    <col min="12" max="16384" width="8.6640625" style="1"/>
  </cols>
  <sheetData>
    <row r="1" spans="1:16" s="37" customFormat="1" ht="25.8" x14ac:dyDescent="0.5">
      <c r="A1" s="72" t="s">
        <v>35</v>
      </c>
      <c r="B1" s="58"/>
      <c r="C1" s="58"/>
      <c r="D1" s="58"/>
    </row>
    <row r="3" spans="1:16" x14ac:dyDescent="0.3">
      <c r="A3" s="73"/>
      <c r="B3" s="71" t="s">
        <v>12</v>
      </c>
      <c r="C3" s="71" t="s">
        <v>11</v>
      </c>
      <c r="D3" s="71" t="s">
        <v>13</v>
      </c>
      <c r="F3" s="46" t="s">
        <v>12</v>
      </c>
      <c r="G3" s="42"/>
      <c r="H3" s="42"/>
      <c r="I3" s="42"/>
      <c r="J3" s="43"/>
      <c r="P3" s="57">
        <v>0</v>
      </c>
    </row>
    <row r="4" spans="1:16" x14ac:dyDescent="0.3">
      <c r="A4" s="73" t="s">
        <v>14</v>
      </c>
      <c r="B4" s="60">
        <f>MIN(B9:B248)</f>
        <v>-3.7509999999999999</v>
      </c>
      <c r="C4" s="60">
        <f>MIN(C9:C248)</f>
        <v>-7.4740000000000002</v>
      </c>
      <c r="D4" s="60">
        <f>MIN(D9:D248)</f>
        <v>-16.297999999999998</v>
      </c>
      <c r="F4" s="41"/>
      <c r="G4" s="42"/>
      <c r="H4" s="42"/>
      <c r="I4" s="62" t="s">
        <v>38</v>
      </c>
      <c r="J4" s="63">
        <f>_xlfn.NORM.DIST(_xlfn.XLOOKUP(MAX(K6:K19),K6:K19,H6:H19),$B$6,$B$7,0)</f>
        <v>0.2902678507121077</v>
      </c>
    </row>
    <row r="5" spans="1:16" x14ac:dyDescent="0.3">
      <c r="A5" s="73" t="s">
        <v>15</v>
      </c>
      <c r="B5" s="60">
        <f>MAX(B9:B248)</f>
        <v>5.3769999999999998</v>
      </c>
      <c r="C5" s="60">
        <f>MAX(C9:C248)</f>
        <v>5.641</v>
      </c>
      <c r="D5" s="60">
        <f>MAX(D9:D248)</f>
        <v>11.465999999999999</v>
      </c>
      <c r="F5" s="15" t="s">
        <v>16</v>
      </c>
      <c r="G5" s="15" t="s">
        <v>17</v>
      </c>
      <c r="H5" s="15" t="s">
        <v>18</v>
      </c>
      <c r="I5" s="15" t="s">
        <v>50</v>
      </c>
      <c r="J5" s="15" t="s">
        <v>34</v>
      </c>
      <c r="K5" s="44" t="s">
        <v>39</v>
      </c>
    </row>
    <row r="6" spans="1:16" x14ac:dyDescent="0.3">
      <c r="A6" s="73" t="s">
        <v>1</v>
      </c>
      <c r="B6" s="60">
        <f>AVERAGE(B9:B248)</f>
        <v>0.23535416666666656</v>
      </c>
      <c r="C6" s="60">
        <f>AVERAGE(C9:C248)</f>
        <v>0.35727083333333348</v>
      </c>
      <c r="D6" s="60">
        <f>AVERAGE(D9:D248)</f>
        <v>0.56554583333333353</v>
      </c>
      <c r="F6" s="16">
        <v>-7.5</v>
      </c>
      <c r="G6" s="16">
        <v>-6.5</v>
      </c>
      <c r="H6" s="39">
        <f>(F6+G6)/2</f>
        <v>-7</v>
      </c>
      <c r="I6" s="39" cm="1">
        <f t="array" ref="I6">SUMPRODUCT(IF($B$9:$B$248&gt;$F6,1,0),IF($B$9:$B$248&lt;=$G6,1,0))</f>
        <v>0</v>
      </c>
      <c r="J6" s="40">
        <f t="shared" ref="J6:J19" si="0">_xlfn.NORM.DIST(H6,$B$6,$B$7,0)*$I$13/$J$4</f>
        <v>4.8386201179703532E-5</v>
      </c>
      <c r="K6" s="45">
        <f t="shared" ref="K6:K19" si="1">_xlfn.NORM.DIST(H6,$B$6,$B$7,0)</f>
        <v>1.8480208711258152E-7</v>
      </c>
    </row>
    <row r="7" spans="1:16" x14ac:dyDescent="0.3">
      <c r="A7" s="73" t="s">
        <v>2</v>
      </c>
      <c r="B7" s="60">
        <f>STDEV(B9:B248)</f>
        <v>1.3537801359408117</v>
      </c>
      <c r="C7" s="60">
        <f>STDEV(C9:C248)</f>
        <v>1.8099358774048591</v>
      </c>
      <c r="D7" s="60">
        <f>STDEV(D9:D248)</f>
        <v>2.6288221581752356</v>
      </c>
      <c r="F7" s="16">
        <f>G6</f>
        <v>-6.5</v>
      </c>
      <c r="G7" s="16">
        <f>F7+(G6-F6)</f>
        <v>-5.5</v>
      </c>
      <c r="H7" s="39">
        <f t="shared" ref="H7:H19" si="2">(F7+G7)/2</f>
        <v>-6</v>
      </c>
      <c r="I7" s="39" cm="1">
        <f t="array" ref="I7">SUMPRODUCT(IF($B$9:$B$248&gt;$F7,1,0),IF($B$9:$B$248&lt;=$G7,1,0))</f>
        <v>0</v>
      </c>
      <c r="J7" s="40">
        <f t="shared" si="0"/>
        <v>1.9088807926267832E-3</v>
      </c>
      <c r="K7" s="45">
        <f t="shared" si="1"/>
        <v>7.2906148018605388E-6</v>
      </c>
    </row>
    <row r="8" spans="1:16" x14ac:dyDescent="0.3">
      <c r="F8" s="16">
        <f t="shared" ref="F8:F19" si="3">G7</f>
        <v>-5.5</v>
      </c>
      <c r="G8" s="16">
        <f t="shared" ref="G8:G19" si="4">F8+(G7-F7)</f>
        <v>-4.5</v>
      </c>
      <c r="H8" s="39">
        <f t="shared" si="2"/>
        <v>-5</v>
      </c>
      <c r="I8" s="39" cm="1">
        <f t="array" ref="I8">SUMPRODUCT(IF($B$9:$B$248&gt;$F8,1,0),IF($B$9:$B$248&lt;=$G8,1,0))</f>
        <v>0</v>
      </c>
      <c r="J8" s="40">
        <f t="shared" si="0"/>
        <v>4.3638418071862625E-2</v>
      </c>
      <c r="K8" s="45">
        <f t="shared" si="1"/>
        <v>1.6666881344994688E-4</v>
      </c>
    </row>
    <row r="9" spans="1:16" x14ac:dyDescent="0.3">
      <c r="A9" s="75">
        <v>38260</v>
      </c>
      <c r="B9" s="61">
        <v>0.24199999999999999</v>
      </c>
      <c r="C9" s="61">
        <v>0.52300000000000002</v>
      </c>
      <c r="D9" s="60">
        <v>1.393</v>
      </c>
      <c r="F9" s="16">
        <f t="shared" si="3"/>
        <v>-4.5</v>
      </c>
      <c r="G9" s="16">
        <f t="shared" si="4"/>
        <v>-3.5</v>
      </c>
      <c r="H9" s="39">
        <f t="shared" si="2"/>
        <v>-4</v>
      </c>
      <c r="I9" s="39" cm="1">
        <f t="array" ref="I9">SUMPRODUCT(IF($B$9:$B$248&gt;$F9,1,0),IF($B$9:$B$248&lt;=$G9,1,0))</f>
        <v>1</v>
      </c>
      <c r="J9" s="40">
        <f t="shared" si="0"/>
        <v>0.57808552990355633</v>
      </c>
      <c r="K9" s="45">
        <f t="shared" si="1"/>
        <v>2.2078900564851994E-3</v>
      </c>
    </row>
    <row r="10" spans="1:16" x14ac:dyDescent="0.3">
      <c r="A10" s="75">
        <v>38291</v>
      </c>
      <c r="B10" s="61">
        <v>0.77300000000000002</v>
      </c>
      <c r="C10" s="61">
        <v>1.0109999999999999</v>
      </c>
      <c r="D10" s="60">
        <v>1.9279999999999999</v>
      </c>
      <c r="F10" s="16">
        <f t="shared" si="3"/>
        <v>-3.5</v>
      </c>
      <c r="G10" s="16">
        <f t="shared" si="4"/>
        <v>-2.5</v>
      </c>
      <c r="H10" s="39">
        <f t="shared" si="2"/>
        <v>-3</v>
      </c>
      <c r="I10" s="39" cm="1">
        <f t="array" ref="I10">SUMPRODUCT(IF($B$9:$B$248&gt;$F10,1,0),IF($B$9:$B$248&lt;=$G10,1,0))</f>
        <v>6</v>
      </c>
      <c r="J10" s="40">
        <f t="shared" si="0"/>
        <v>4.4375995416210774</v>
      </c>
      <c r="K10" s="45">
        <f t="shared" si="1"/>
        <v>1.6948585279834005E-2</v>
      </c>
    </row>
    <row r="11" spans="1:16" x14ac:dyDescent="0.3">
      <c r="A11" s="75">
        <v>38321</v>
      </c>
      <c r="B11" s="61">
        <v>-1.325</v>
      </c>
      <c r="C11" s="61">
        <v>-1.0389999999999999</v>
      </c>
      <c r="D11" s="60">
        <v>1.04</v>
      </c>
      <c r="F11" s="16">
        <f t="shared" si="3"/>
        <v>-2.5</v>
      </c>
      <c r="G11" s="16">
        <f t="shared" si="4"/>
        <v>-1.5</v>
      </c>
      <c r="H11" s="39">
        <f t="shared" si="2"/>
        <v>-2</v>
      </c>
      <c r="I11" s="39" cm="1">
        <f t="array" ref="I11">SUMPRODUCT(IF($B$9:$B$248&gt;$F11,1,0),IF($B$9:$B$248&lt;=$G11,1,0))</f>
        <v>11</v>
      </c>
      <c r="J11" s="40">
        <f t="shared" si="0"/>
        <v>19.739539947904607</v>
      </c>
      <c r="K11" s="45">
        <f t="shared" si="1"/>
        <v>7.5391497825316581E-2</v>
      </c>
    </row>
    <row r="12" spans="1:16" x14ac:dyDescent="0.3">
      <c r="A12" s="75">
        <v>38352</v>
      </c>
      <c r="B12" s="61">
        <v>0.97699999999999998</v>
      </c>
      <c r="C12" s="61">
        <v>1.417</v>
      </c>
      <c r="D12" s="60">
        <v>1.508</v>
      </c>
      <c r="F12" s="16">
        <f t="shared" si="3"/>
        <v>-1.5</v>
      </c>
      <c r="G12" s="16">
        <f t="shared" si="4"/>
        <v>-0.5</v>
      </c>
      <c r="H12" s="39">
        <f t="shared" si="2"/>
        <v>-1</v>
      </c>
      <c r="I12" s="39" cm="1">
        <f t="array" ref="I12">SUMPRODUCT(IF($B$9:$B$248&gt;$F12,1,0),IF($B$9:$B$248&lt;=$G12,1,0))</f>
        <v>47</v>
      </c>
      <c r="J12" s="40">
        <f t="shared" si="0"/>
        <v>50.881376851706797</v>
      </c>
      <c r="K12" s="45">
        <f t="shared" si="1"/>
        <v>0.19433194605286475</v>
      </c>
    </row>
    <row r="13" spans="1:16" x14ac:dyDescent="0.3">
      <c r="A13" s="75">
        <v>38383</v>
      </c>
      <c r="B13" s="61">
        <v>0.72299999999999998</v>
      </c>
      <c r="C13" s="61">
        <v>0.80900000000000005</v>
      </c>
      <c r="D13" s="60">
        <v>-0.10199999999999999</v>
      </c>
      <c r="F13" s="16">
        <f t="shared" si="3"/>
        <v>-0.5</v>
      </c>
      <c r="G13" s="16">
        <f t="shared" si="4"/>
        <v>0.5</v>
      </c>
      <c r="H13" s="39">
        <f t="shared" si="2"/>
        <v>0</v>
      </c>
      <c r="I13" s="39" cm="1">
        <f t="array" ref="I13">SUMPRODUCT(IF($B$9:$B$248&gt;$F13,1,0),IF($B$9:$B$248&lt;=$G13,1,0))</f>
        <v>76</v>
      </c>
      <c r="J13" s="40">
        <f t="shared" si="0"/>
        <v>76</v>
      </c>
      <c r="K13" s="45">
        <f t="shared" si="1"/>
        <v>0.2902678507121077</v>
      </c>
    </row>
    <row r="14" spans="1:16" x14ac:dyDescent="0.3">
      <c r="A14" s="75">
        <v>38411</v>
      </c>
      <c r="B14" s="61">
        <v>-0.78700000000000003</v>
      </c>
      <c r="C14" s="61">
        <v>-0.64400000000000002</v>
      </c>
      <c r="D14" s="60">
        <v>1.429</v>
      </c>
      <c r="F14" s="16">
        <f t="shared" si="3"/>
        <v>0.5</v>
      </c>
      <c r="G14" s="16">
        <f t="shared" si="4"/>
        <v>1.5</v>
      </c>
      <c r="H14" s="39">
        <f t="shared" si="2"/>
        <v>1</v>
      </c>
      <c r="I14" s="39" cm="1">
        <f t="array" ref="I14">SUMPRODUCT(IF($B$9:$B$248&gt;$F14,1,0),IF($B$9:$B$248&lt;=$G14,1,0))</f>
        <v>61</v>
      </c>
      <c r="J14" s="40">
        <f t="shared" si="0"/>
        <v>65.781116293660119</v>
      </c>
      <c r="K14" s="45">
        <f t="shared" si="1"/>
        <v>0.25123872689478854</v>
      </c>
    </row>
    <row r="15" spans="1:16" x14ac:dyDescent="0.3">
      <c r="A15" s="75">
        <v>38442</v>
      </c>
      <c r="B15" s="61">
        <v>-0.32800000000000001</v>
      </c>
      <c r="C15" s="61">
        <v>-1.077</v>
      </c>
      <c r="D15" s="60">
        <v>-2.7309999999999999</v>
      </c>
      <c r="F15" s="16">
        <f t="shared" si="3"/>
        <v>1.5</v>
      </c>
      <c r="G15" s="16">
        <f t="shared" si="4"/>
        <v>2.5</v>
      </c>
      <c r="H15" s="39">
        <f t="shared" si="2"/>
        <v>2</v>
      </c>
      <c r="I15" s="39" cm="1">
        <f t="array" ref="I15">SUMPRODUCT(IF($B$9:$B$248&gt;$F15,1,0),IF($B$9:$B$248&lt;=$G15,1,0))</f>
        <v>23</v>
      </c>
      <c r="J15" s="40">
        <f t="shared" si="0"/>
        <v>32.992999108881897</v>
      </c>
      <c r="K15" s="45">
        <f t="shared" si="1"/>
        <v>0.1260106176300215</v>
      </c>
    </row>
    <row r="16" spans="1:16" x14ac:dyDescent="0.3">
      <c r="A16" s="75">
        <v>38472</v>
      </c>
      <c r="B16" s="61">
        <v>1.726</v>
      </c>
      <c r="C16" s="61">
        <v>1.3919999999999999</v>
      </c>
      <c r="D16" s="60">
        <v>-1.073</v>
      </c>
      <c r="F16" s="16">
        <f t="shared" si="3"/>
        <v>2.5</v>
      </c>
      <c r="G16" s="16">
        <f t="shared" si="4"/>
        <v>3.5</v>
      </c>
      <c r="H16" s="39">
        <f t="shared" si="2"/>
        <v>3</v>
      </c>
      <c r="I16" s="39" cm="1">
        <f t="array" ref="I16">SUMPRODUCT(IF($B$9:$B$248&gt;$F16,1,0),IF($B$9:$B$248&lt;=$G16,1,0))</f>
        <v>11</v>
      </c>
      <c r="J16" s="40">
        <f t="shared" si="0"/>
        <v>9.5890428837774717</v>
      </c>
      <c r="K16" s="45">
        <f t="shared" si="1"/>
        <v>3.6623564056056816E-2</v>
      </c>
    </row>
    <row r="17" spans="1:11" x14ac:dyDescent="0.3">
      <c r="A17" s="75">
        <v>38503</v>
      </c>
      <c r="B17" s="61">
        <v>1.2170000000000001</v>
      </c>
      <c r="C17" s="61">
        <v>1.2330000000000001</v>
      </c>
      <c r="D17" s="60">
        <v>1.79</v>
      </c>
      <c r="F17" s="16">
        <f t="shared" si="3"/>
        <v>3.5</v>
      </c>
      <c r="G17" s="16">
        <f t="shared" si="4"/>
        <v>4.5</v>
      </c>
      <c r="H17" s="39">
        <f t="shared" si="2"/>
        <v>4</v>
      </c>
      <c r="I17" s="39" cm="1">
        <f t="array" ref="I17">SUMPRODUCT(IF($B$9:$B$248&gt;$F17,1,0),IF($B$9:$B$248&lt;=$G17,1,0))</f>
        <v>3</v>
      </c>
      <c r="J17" s="40">
        <f t="shared" si="0"/>
        <v>1.6149595009192133</v>
      </c>
      <c r="K17" s="45">
        <f t="shared" si="1"/>
        <v>6.1680371489331335E-3</v>
      </c>
    </row>
    <row r="18" spans="1:11" x14ac:dyDescent="0.3">
      <c r="A18" s="75">
        <v>38533</v>
      </c>
      <c r="B18" s="61">
        <v>0.61099999999999999</v>
      </c>
      <c r="C18" s="61">
        <v>0.80600000000000005</v>
      </c>
      <c r="D18" s="60">
        <v>1.903</v>
      </c>
      <c r="F18" s="16">
        <f t="shared" si="3"/>
        <v>4.5</v>
      </c>
      <c r="G18" s="16">
        <f t="shared" si="4"/>
        <v>5.5</v>
      </c>
      <c r="H18" s="39">
        <f t="shared" si="2"/>
        <v>5</v>
      </c>
      <c r="I18" s="39" cm="1">
        <f t="array" ref="I18">SUMPRODUCT(IF($B$9:$B$248&gt;$F18,1,0),IF($B$9:$B$248&lt;=$G18,1,0))</f>
        <v>1</v>
      </c>
      <c r="J18" s="40">
        <f t="shared" si="0"/>
        <v>0.15760896609606637</v>
      </c>
      <c r="K18" s="45">
        <f t="shared" si="1"/>
        <v>6.0195810317977146E-4</v>
      </c>
    </row>
    <row r="19" spans="1:11" x14ac:dyDescent="0.3">
      <c r="A19" s="75">
        <v>38564</v>
      </c>
      <c r="B19" s="61">
        <v>-1.327</v>
      </c>
      <c r="C19" s="61">
        <v>-1.036</v>
      </c>
      <c r="D19" s="60">
        <v>1.57</v>
      </c>
      <c r="F19" s="16">
        <f t="shared" si="3"/>
        <v>5.5</v>
      </c>
      <c r="G19" s="16">
        <f t="shared" si="4"/>
        <v>6.5</v>
      </c>
      <c r="H19" s="39">
        <f t="shared" si="2"/>
        <v>6</v>
      </c>
      <c r="I19" s="39" cm="1">
        <f t="array" ref="I19">SUMPRODUCT(IF($B$9:$B$248&gt;$F19,1,0),IF($B$9:$B$248&lt;=$G19,1,0))</f>
        <v>0</v>
      </c>
      <c r="J19" s="40">
        <f t="shared" si="0"/>
        <v>8.9131889618575544E-3</v>
      </c>
      <c r="K19" s="45">
        <f t="shared" si="1"/>
        <v>3.4042265828279931E-5</v>
      </c>
    </row>
    <row r="20" spans="1:11" x14ac:dyDescent="0.3">
      <c r="A20" s="75">
        <v>38595</v>
      </c>
      <c r="B20" s="61">
        <v>1.5860000000000001</v>
      </c>
      <c r="C20" s="61">
        <v>1.629</v>
      </c>
      <c r="D20" s="60">
        <v>0.36199999999999999</v>
      </c>
    </row>
    <row r="21" spans="1:11" x14ac:dyDescent="0.3">
      <c r="A21" s="75">
        <v>38625</v>
      </c>
      <c r="B21" s="61">
        <v>-1.3149999999999999</v>
      </c>
      <c r="C21" s="61">
        <v>-1.5820000000000001</v>
      </c>
      <c r="D21" s="60">
        <v>-1.0009999999999999</v>
      </c>
    </row>
    <row r="22" spans="1:11" x14ac:dyDescent="0.3">
      <c r="A22" s="75">
        <v>38656</v>
      </c>
      <c r="B22" s="61">
        <v>-0.76100000000000001</v>
      </c>
      <c r="C22" s="61">
        <v>-1.0289999999999999</v>
      </c>
      <c r="D22" s="60">
        <v>-0.72899999999999998</v>
      </c>
      <c r="F22" s="46" t="s">
        <v>11</v>
      </c>
      <c r="G22" s="42"/>
      <c r="H22" s="42"/>
      <c r="I22" s="42"/>
      <c r="J22" s="43"/>
    </row>
    <row r="23" spans="1:11" x14ac:dyDescent="0.3">
      <c r="A23" s="75">
        <v>38686</v>
      </c>
      <c r="B23" s="61">
        <v>0.47699999999999998</v>
      </c>
      <c r="C23" s="61">
        <v>0.53600000000000003</v>
      </c>
      <c r="D23" s="60">
        <v>0.48199999999999998</v>
      </c>
      <c r="F23" s="41"/>
      <c r="G23" s="42"/>
      <c r="H23" s="42"/>
      <c r="I23" s="62" t="s">
        <v>38</v>
      </c>
      <c r="J23" s="63">
        <f>_xlfn.NORM.DIST(_xlfn.XLOOKUP(MAX(K25:K38),K25:K38,H25:H38),$C$6,$C$7,0)</f>
        <v>0.21616523543533653</v>
      </c>
    </row>
    <row r="24" spans="1:11" x14ac:dyDescent="0.3">
      <c r="A24" s="75">
        <v>38717</v>
      </c>
      <c r="B24" s="61">
        <v>1.0169999999999999</v>
      </c>
      <c r="C24" s="61">
        <v>0.99</v>
      </c>
      <c r="D24" s="60">
        <v>0.91600000000000004</v>
      </c>
      <c r="F24" s="15" t="s">
        <v>16</v>
      </c>
      <c r="G24" s="15" t="s">
        <v>17</v>
      </c>
      <c r="H24" s="15" t="s">
        <v>18</v>
      </c>
      <c r="I24" s="15" t="s">
        <v>50</v>
      </c>
      <c r="J24" s="15" t="s">
        <v>34</v>
      </c>
      <c r="K24" s="44" t="s">
        <v>39</v>
      </c>
    </row>
    <row r="25" spans="1:11" x14ac:dyDescent="0.3">
      <c r="A25" s="75">
        <v>38748</v>
      </c>
      <c r="B25" s="61">
        <v>-0.27700000000000002</v>
      </c>
      <c r="C25" s="61">
        <v>-0.21</v>
      </c>
      <c r="D25" s="60">
        <v>1.585</v>
      </c>
      <c r="F25" s="16">
        <v>-7.5</v>
      </c>
      <c r="G25" s="16">
        <v>-6.5</v>
      </c>
      <c r="H25" s="39">
        <f>(F25+G25)/2</f>
        <v>-7</v>
      </c>
      <c r="I25" s="39" cm="1">
        <f t="array" ref="I25">SUMPRODUCT(IF($C$9:$C$248&gt;$F25,1,0),IF($C$9:$C$248&lt;=$G25,1,0))</f>
        <v>3</v>
      </c>
      <c r="J25" s="40">
        <f t="shared" ref="J25:J38" si="5">_xlfn.NORM.DIST(H25,$C$6,$C$7,0)*$I$33/$J$23</f>
        <v>1.7638496106092343E-2</v>
      </c>
      <c r="K25" s="45">
        <f>_xlfn.NORM.DIST(H25,$C$6,$C$7,0)</f>
        <v>5.6907905425353998E-5</v>
      </c>
    </row>
    <row r="26" spans="1:11" x14ac:dyDescent="0.3">
      <c r="A26" s="75">
        <v>38776</v>
      </c>
      <c r="B26" s="61">
        <v>0.159</v>
      </c>
      <c r="C26" s="61">
        <v>0.39800000000000002</v>
      </c>
      <c r="D26" s="60">
        <v>0.63200000000000001</v>
      </c>
      <c r="F26" s="16">
        <f>G25</f>
        <v>-6.5</v>
      </c>
      <c r="G26" s="16">
        <f>F26+(G25-F25)</f>
        <v>-5.5</v>
      </c>
      <c r="H26" s="39">
        <f t="shared" ref="H26:H38" si="6">(F26+G26)/2</f>
        <v>-6</v>
      </c>
      <c r="I26" s="39" cm="1">
        <f t="array" ref="I26">SUMPRODUCT(IF($C$9:$C$248&gt;$F26,1,0),IF($C$9:$C$248&lt;=$G26,1,0))</f>
        <v>0</v>
      </c>
      <c r="J26" s="40">
        <f t="shared" si="5"/>
        <v>0.14307260488368495</v>
      </c>
      <c r="K26" s="45">
        <f t="shared" ref="K26:K38" si="7">_xlfn.NORM.DIST(H26,$C$6,$C$7,0)</f>
        <v>4.6160184058251696E-4</v>
      </c>
    </row>
    <row r="27" spans="1:11" x14ac:dyDescent="0.3">
      <c r="A27" s="75">
        <v>38807</v>
      </c>
      <c r="B27" s="61">
        <v>-1.036</v>
      </c>
      <c r="C27" s="61">
        <v>-1.26</v>
      </c>
      <c r="D27" s="60">
        <v>0.625</v>
      </c>
      <c r="F27" s="16">
        <f t="shared" ref="F27:F38" si="8">G26</f>
        <v>-5.5</v>
      </c>
      <c r="G27" s="16">
        <f t="shared" ref="G27:G38" si="9">F27+(G26-F26)</f>
        <v>-4.5</v>
      </c>
      <c r="H27" s="39">
        <f t="shared" si="6"/>
        <v>-5</v>
      </c>
      <c r="I27" s="39" cm="1">
        <f t="array" ref="I27">SUMPRODUCT(IF($C$9:$C$248&gt;$F27,1,0),IF($C$9:$C$248&lt;=$G27,1,0))</f>
        <v>2</v>
      </c>
      <c r="J27" s="40">
        <f t="shared" si="5"/>
        <v>0.85521940255274809</v>
      </c>
      <c r="K27" s="45">
        <f t="shared" si="7"/>
        <v>2.759234380622129E-3</v>
      </c>
    </row>
    <row r="28" spans="1:11" x14ac:dyDescent="0.3">
      <c r="A28" s="75">
        <v>38837</v>
      </c>
      <c r="B28" s="61">
        <v>-0.41199999999999998</v>
      </c>
      <c r="C28" s="61">
        <v>-0.39700000000000002</v>
      </c>
      <c r="D28" s="60">
        <v>0.64300000000000002</v>
      </c>
      <c r="F28" s="16">
        <f t="shared" si="8"/>
        <v>-4.5</v>
      </c>
      <c r="G28" s="16">
        <f t="shared" si="9"/>
        <v>-3.5</v>
      </c>
      <c r="H28" s="39">
        <f t="shared" si="6"/>
        <v>-4</v>
      </c>
      <c r="I28" s="39" cm="1">
        <f t="array" ref="I28">SUMPRODUCT(IF($C$9:$C$248&gt;$F28,1,0),IF($C$9:$C$248&lt;=$G28,1,0))</f>
        <v>0</v>
      </c>
      <c r="J28" s="40">
        <f t="shared" si="5"/>
        <v>3.7672525574047038</v>
      </c>
      <c r="K28" s="45">
        <f t="shared" si="7"/>
        <v>1.2154463224115843E-2</v>
      </c>
    </row>
    <row r="29" spans="1:11" x14ac:dyDescent="0.3">
      <c r="A29" s="75">
        <v>38868</v>
      </c>
      <c r="B29" s="61">
        <v>5.2999999999999999E-2</v>
      </c>
      <c r="C29" s="61">
        <v>-0.08</v>
      </c>
      <c r="D29" s="60">
        <v>-6.3E-2</v>
      </c>
      <c r="F29" s="16">
        <f t="shared" si="8"/>
        <v>-3.5</v>
      </c>
      <c r="G29" s="16">
        <f t="shared" si="9"/>
        <v>-2.5</v>
      </c>
      <c r="H29" s="39">
        <f t="shared" si="6"/>
        <v>-3</v>
      </c>
      <c r="I29" s="39" cm="1">
        <f t="array" ref="I29">SUMPRODUCT(IF($C$9:$C$248&gt;$F29,1,0),IF($C$9:$C$248&lt;=$G29,1,0))</f>
        <v>6</v>
      </c>
      <c r="J29" s="40">
        <f t="shared" si="5"/>
        <v>12.229200282802514</v>
      </c>
      <c r="K29" s="45">
        <f t="shared" si="7"/>
        <v>3.9455641168923729E-2</v>
      </c>
    </row>
    <row r="30" spans="1:11" x14ac:dyDescent="0.3">
      <c r="A30" s="75">
        <v>38898</v>
      </c>
      <c r="B30" s="61">
        <v>0.315</v>
      </c>
      <c r="C30" s="61">
        <v>7.4999999999999997E-2</v>
      </c>
      <c r="D30" s="60">
        <v>-0.379</v>
      </c>
      <c r="F30" s="16">
        <f t="shared" si="8"/>
        <v>-2.5</v>
      </c>
      <c r="G30" s="16">
        <f t="shared" si="9"/>
        <v>-1.5</v>
      </c>
      <c r="H30" s="39">
        <f t="shared" si="6"/>
        <v>-2</v>
      </c>
      <c r="I30" s="39" cm="1">
        <f t="array" ref="I30">SUMPRODUCT(IF($C$9:$C$248&gt;$F30,1,0),IF($C$9:$C$248&lt;=$G30,1,0))</f>
        <v>11</v>
      </c>
      <c r="J30" s="40">
        <f t="shared" si="5"/>
        <v>29.254825311954093</v>
      </c>
      <c r="K30" s="45">
        <f t="shared" si="7"/>
        <v>9.4386211957883562E-2</v>
      </c>
    </row>
    <row r="31" spans="1:11" x14ac:dyDescent="0.3">
      <c r="A31" s="75">
        <v>38929</v>
      </c>
      <c r="B31" s="61">
        <v>1.2150000000000001</v>
      </c>
      <c r="C31" s="61">
        <v>1.482</v>
      </c>
      <c r="D31" s="60">
        <v>1.0669999999999999</v>
      </c>
      <c r="F31" s="16">
        <f t="shared" si="8"/>
        <v>-1.5</v>
      </c>
      <c r="G31" s="16">
        <f t="shared" si="9"/>
        <v>-0.5</v>
      </c>
      <c r="H31" s="39">
        <f t="shared" si="6"/>
        <v>-1</v>
      </c>
      <c r="I31" s="39" cm="1">
        <f t="array" ref="I31">SUMPRODUCT(IF($C$9:$C$248&gt;$F31,1,0),IF($C$9:$C$248&lt;=$G31,1,0))</f>
        <v>40</v>
      </c>
      <c r="J31" s="40">
        <f t="shared" si="5"/>
        <v>51.573082627739431</v>
      </c>
      <c r="K31" s="45">
        <f t="shared" si="7"/>
        <v>0.16639264997539341</v>
      </c>
    </row>
    <row r="32" spans="1:11" x14ac:dyDescent="0.3">
      <c r="A32" s="75">
        <v>38960</v>
      </c>
      <c r="B32" s="61">
        <v>1.4650000000000001</v>
      </c>
      <c r="C32" s="61">
        <v>1.87</v>
      </c>
      <c r="D32" s="60">
        <v>1.6180000000000001</v>
      </c>
      <c r="F32" s="16">
        <f t="shared" si="8"/>
        <v>-0.5</v>
      </c>
      <c r="G32" s="16">
        <f t="shared" si="9"/>
        <v>0.5</v>
      </c>
      <c r="H32" s="39">
        <f t="shared" si="6"/>
        <v>0</v>
      </c>
      <c r="I32" s="39" cm="1">
        <f t="array" ref="I32">SUMPRODUCT(IF($C$9:$C$248&gt;$F32,1,0),IF($C$9:$C$248&lt;=$G32,1,0))</f>
        <v>62</v>
      </c>
      <c r="J32" s="40">
        <f t="shared" si="5"/>
        <v>67</v>
      </c>
      <c r="K32" s="45">
        <f t="shared" si="7"/>
        <v>0.21616523543533653</v>
      </c>
    </row>
    <row r="33" spans="1:12" x14ac:dyDescent="0.3">
      <c r="A33" s="75">
        <v>38990</v>
      </c>
      <c r="B33" s="61">
        <v>0.91700000000000004</v>
      </c>
      <c r="C33" s="61">
        <v>1.087</v>
      </c>
      <c r="D33" s="60">
        <v>1.3149999999999999</v>
      </c>
      <c r="F33" s="16">
        <f t="shared" si="8"/>
        <v>0.5</v>
      </c>
      <c r="G33" s="16">
        <f t="shared" si="9"/>
        <v>1.5</v>
      </c>
      <c r="H33" s="39">
        <f t="shared" si="6"/>
        <v>1</v>
      </c>
      <c r="I33" s="39" cm="1">
        <f t="array" ref="I33">SUMPRODUCT(IF($C$9:$C$248&gt;$F33,1,0),IF($C$9:$C$248&lt;=$G33,1,0))</f>
        <v>67</v>
      </c>
      <c r="J33" s="40">
        <f t="shared" si="5"/>
        <v>64.143498693703563</v>
      </c>
      <c r="K33" s="45">
        <f t="shared" si="7"/>
        <v>0.20694917159359155</v>
      </c>
    </row>
    <row r="34" spans="1:12" x14ac:dyDescent="0.3">
      <c r="A34" s="75">
        <v>39021</v>
      </c>
      <c r="B34" s="61">
        <v>0.51200000000000001</v>
      </c>
      <c r="C34" s="61">
        <v>0.86199999999999999</v>
      </c>
      <c r="D34" s="60">
        <v>1.46</v>
      </c>
      <c r="F34" s="16">
        <f t="shared" si="8"/>
        <v>1.5</v>
      </c>
      <c r="G34" s="16">
        <f t="shared" si="9"/>
        <v>2.5</v>
      </c>
      <c r="H34" s="39">
        <f t="shared" si="6"/>
        <v>2</v>
      </c>
      <c r="I34" s="39" cm="1">
        <f t="array" ref="I34">SUMPRODUCT(IF($C$9:$C$248&gt;$F34,1,0),IF($C$9:$C$248&lt;=$G34,1,0))</f>
        <v>30</v>
      </c>
      <c r="J34" s="40">
        <f t="shared" si="5"/>
        <v>45.253962950787347</v>
      </c>
      <c r="K34" s="45">
        <f t="shared" si="7"/>
        <v>0.14600497844237231</v>
      </c>
    </row>
    <row r="35" spans="1:12" x14ac:dyDescent="0.3">
      <c r="A35" s="75">
        <v>39051</v>
      </c>
      <c r="B35" s="61">
        <v>1.0389999999999999</v>
      </c>
      <c r="C35" s="61">
        <v>1.4159999999999999</v>
      </c>
      <c r="D35" s="60">
        <v>1.5960000000000001</v>
      </c>
      <c r="F35" s="16">
        <f t="shared" si="8"/>
        <v>2.5</v>
      </c>
      <c r="G35" s="16">
        <f t="shared" si="9"/>
        <v>3.5</v>
      </c>
      <c r="H35" s="39">
        <f t="shared" si="6"/>
        <v>3</v>
      </c>
      <c r="I35" s="39" cm="1">
        <f t="array" ref="I35">SUMPRODUCT(IF($C$9:$C$248&gt;$F35,1,0),IF($C$9:$C$248&lt;=$G35,1,0))</f>
        <v>10</v>
      </c>
      <c r="J35" s="40">
        <f t="shared" si="5"/>
        <v>23.528092524318478</v>
      </c>
      <c r="K35" s="45">
        <f t="shared" si="7"/>
        <v>7.5909785968114693E-2</v>
      </c>
    </row>
    <row r="36" spans="1:12" x14ac:dyDescent="0.3">
      <c r="A36" s="75">
        <v>39082</v>
      </c>
      <c r="B36" s="61">
        <v>-0.82099999999999995</v>
      </c>
      <c r="C36" s="61">
        <v>-0.89800000000000002</v>
      </c>
      <c r="D36" s="60">
        <v>1.101</v>
      </c>
      <c r="F36" s="16">
        <f t="shared" si="8"/>
        <v>3.5</v>
      </c>
      <c r="G36" s="16">
        <f t="shared" si="9"/>
        <v>4.5</v>
      </c>
      <c r="H36" s="39">
        <f t="shared" si="6"/>
        <v>4</v>
      </c>
      <c r="I36" s="39" cm="1">
        <f t="array" ref="I36">SUMPRODUCT(IF($C$9:$C$248&gt;$F36,1,0),IF($C$9:$C$248&lt;=$G36,1,0))</f>
        <v>5</v>
      </c>
      <c r="J36" s="40">
        <f t="shared" si="5"/>
        <v>9.014527168223335</v>
      </c>
      <c r="K36" s="45">
        <f t="shared" si="7"/>
        <v>2.9083990860555745E-2</v>
      </c>
    </row>
    <row r="37" spans="1:12" x14ac:dyDescent="0.3">
      <c r="A37" s="75">
        <v>39113</v>
      </c>
      <c r="B37" s="61">
        <v>-0.153</v>
      </c>
      <c r="C37" s="61">
        <v>3.3000000000000002E-2</v>
      </c>
      <c r="D37" s="60">
        <v>1.0740000000000001</v>
      </c>
      <c r="F37" s="16">
        <f t="shared" si="8"/>
        <v>4.5</v>
      </c>
      <c r="G37" s="16">
        <f t="shared" si="9"/>
        <v>5.5</v>
      </c>
      <c r="H37" s="39">
        <f t="shared" si="6"/>
        <v>5</v>
      </c>
      <c r="I37" s="39" cm="1">
        <f t="array" ref="I37">SUMPRODUCT(IF($C$9:$C$248&gt;$F37,1,0),IF($C$9:$C$248&lt;=$G37,1,0))</f>
        <v>2</v>
      </c>
      <c r="J37" s="40">
        <f t="shared" si="5"/>
        <v>2.5452199268598497</v>
      </c>
      <c r="K37" s="45">
        <f t="shared" si="7"/>
        <v>8.2117621600652155E-3</v>
      </c>
    </row>
    <row r="38" spans="1:12" x14ac:dyDescent="0.3">
      <c r="A38" s="75">
        <v>39141</v>
      </c>
      <c r="B38" s="61">
        <v>1.649</v>
      </c>
      <c r="C38" s="61">
        <v>2.0299999999999998</v>
      </c>
      <c r="D38" s="60">
        <v>1.393</v>
      </c>
      <c r="F38" s="16">
        <f t="shared" si="8"/>
        <v>5.5</v>
      </c>
      <c r="G38" s="16">
        <f t="shared" si="9"/>
        <v>6.5</v>
      </c>
      <c r="H38" s="39">
        <f t="shared" si="6"/>
        <v>6</v>
      </c>
      <c r="I38" s="39" cm="1">
        <f t="array" ref="I38">SUMPRODUCT(IF($C$9:$C$248&gt;$F38,1,0),IF($C$9:$C$248&lt;=$G38,1,0))</f>
        <v>2</v>
      </c>
      <c r="J38" s="40">
        <f t="shared" si="5"/>
        <v>0.52958272221026081</v>
      </c>
      <c r="K38" s="45">
        <f t="shared" si="7"/>
        <v>1.7086175198368278E-3</v>
      </c>
    </row>
    <row r="39" spans="1:12" x14ac:dyDescent="0.3">
      <c r="A39" s="75">
        <v>39172</v>
      </c>
      <c r="B39" s="61">
        <v>-5.6000000000000001E-2</v>
      </c>
      <c r="C39" s="61">
        <v>-0.48699999999999999</v>
      </c>
      <c r="D39" s="60">
        <v>0.23200000000000001</v>
      </c>
    </row>
    <row r="40" spans="1:12" x14ac:dyDescent="0.3">
      <c r="A40" s="75">
        <v>39202</v>
      </c>
      <c r="B40" s="61">
        <v>0.52500000000000002</v>
      </c>
      <c r="C40" s="61">
        <v>0.74</v>
      </c>
      <c r="D40" s="60">
        <v>1.323</v>
      </c>
    </row>
    <row r="41" spans="1:12" x14ac:dyDescent="0.3">
      <c r="A41" s="75">
        <v>39233</v>
      </c>
      <c r="B41" s="61">
        <v>-0.87</v>
      </c>
      <c r="C41" s="61">
        <v>-0.99</v>
      </c>
      <c r="D41" s="60">
        <v>0.71099999999999997</v>
      </c>
      <c r="F41" s="46" t="s">
        <v>13</v>
      </c>
      <c r="G41" s="42"/>
      <c r="H41" s="42"/>
      <c r="I41" s="42"/>
      <c r="J41" s="43"/>
      <c r="L41" s="1" t="s">
        <v>51</v>
      </c>
    </row>
    <row r="42" spans="1:12" x14ac:dyDescent="0.3">
      <c r="A42" s="75">
        <v>39263</v>
      </c>
      <c r="B42" s="61">
        <v>-5.1999999999999998E-2</v>
      </c>
      <c r="C42" s="61">
        <v>-0.48</v>
      </c>
      <c r="D42" s="60">
        <v>-1.6850000000000001</v>
      </c>
      <c r="F42" s="41"/>
      <c r="G42" s="42"/>
      <c r="H42" s="42"/>
      <c r="I42" s="62" t="s">
        <v>38</v>
      </c>
      <c r="J42" s="63">
        <f>_xlfn.NORM.DIST(_xlfn.XLOOKUP(MAX(K44:K58),K44:K58,H44:H58),$D$6,$D$7,0)</f>
        <v>0.14828554763444265</v>
      </c>
      <c r="K42" s="38"/>
    </row>
    <row r="43" spans="1:12" x14ac:dyDescent="0.3">
      <c r="A43" s="75">
        <v>39294</v>
      </c>
      <c r="B43" s="61">
        <v>1.66</v>
      </c>
      <c r="C43" s="61">
        <v>0.28499999999999998</v>
      </c>
      <c r="D43" s="60">
        <v>-3.14</v>
      </c>
      <c r="F43" s="15" t="s">
        <v>16</v>
      </c>
      <c r="G43" s="15" t="s">
        <v>17</v>
      </c>
      <c r="H43" s="15" t="s">
        <v>18</v>
      </c>
      <c r="I43" s="15" t="s">
        <v>50</v>
      </c>
      <c r="J43" s="15" t="s">
        <v>34</v>
      </c>
      <c r="K43" s="44" t="s">
        <v>39</v>
      </c>
    </row>
    <row r="44" spans="1:12" x14ac:dyDescent="0.3">
      <c r="A44" s="75">
        <v>39325</v>
      </c>
      <c r="B44" s="61">
        <v>1.5760000000000001</v>
      </c>
      <c r="C44" s="61">
        <v>0.98499999999999999</v>
      </c>
      <c r="D44" s="60">
        <v>1.115</v>
      </c>
      <c r="F44" s="16">
        <v>-17</v>
      </c>
      <c r="G44" s="16">
        <v>-15</v>
      </c>
      <c r="H44" s="39">
        <f>(F44+G44)/2</f>
        <v>-16</v>
      </c>
      <c r="I44" s="39" cm="1">
        <f t="array" ref="I44">SUMPRODUCT(IF($D$9:$D$248&gt;$F44,1,0),IF($D$9:$D$248&lt;=$G44,1,0))</f>
        <v>1</v>
      </c>
      <c r="J44" s="40">
        <f t="shared" ref="J44:J58" si="10">_xlfn.NORM.DIST(H44,$D$6,$D$7,0)*$I$53/$J$42</f>
        <v>1.9518098626248983E-7</v>
      </c>
      <c r="K44" s="45">
        <f>_xlfn.NORM.DIST(H44,$D$6,$D$7,0)</f>
        <v>3.6178149294704919E-10</v>
      </c>
    </row>
    <row r="45" spans="1:12" x14ac:dyDescent="0.3">
      <c r="A45" s="75">
        <v>39355</v>
      </c>
      <c r="B45" s="61">
        <v>0.53600000000000003</v>
      </c>
      <c r="C45" s="61">
        <v>0.56100000000000005</v>
      </c>
      <c r="D45" s="60">
        <v>2.444</v>
      </c>
      <c r="F45" s="16">
        <f>G44</f>
        <v>-15</v>
      </c>
      <c r="G45" s="16">
        <f>F45+(G44-F44)</f>
        <v>-13</v>
      </c>
      <c r="H45" s="39">
        <f>(F45+G45)/2</f>
        <v>-14</v>
      </c>
      <c r="I45" s="39" cm="1">
        <f t="array" ref="I45">SUMPRODUCT(IF($D$9:$D$248&gt;$F45,1,0),IF($D$9:$D$248&lt;=$G45,1,0))</f>
        <v>0</v>
      </c>
      <c r="J45" s="40">
        <f t="shared" si="10"/>
        <v>1.7653514315205708E-5</v>
      </c>
      <c r="K45" s="45">
        <f t="shared" ref="K45:K58" si="11">_xlfn.NORM.DIST(H45,$D$6,$D$7,0)</f>
        <v>3.2722012973784391E-8</v>
      </c>
    </row>
    <row r="46" spans="1:12" x14ac:dyDescent="0.3">
      <c r="A46" s="75">
        <v>39386</v>
      </c>
      <c r="B46" s="61">
        <v>0.78500000000000003</v>
      </c>
      <c r="C46" s="61">
        <v>1.087</v>
      </c>
      <c r="D46" s="60">
        <v>0.60599999999999998</v>
      </c>
      <c r="F46" s="16">
        <f t="shared" ref="F46:F58" si="12">G45</f>
        <v>-13</v>
      </c>
      <c r="G46" s="16">
        <f t="shared" ref="G46:G58" si="13">F46+(G45-F45)</f>
        <v>-11</v>
      </c>
      <c r="H46" s="39">
        <f t="shared" ref="H46:H58" si="14">(F46+G46)/2</f>
        <v>-12</v>
      </c>
      <c r="I46" s="39" cm="1">
        <f t="array" ref="I46">SUMPRODUCT(IF($D$9:$D$248&gt;$F46,1,0),IF($D$9:$D$248&lt;=$G46,1,0))</f>
        <v>1</v>
      </c>
      <c r="J46" s="40">
        <f t="shared" si="10"/>
        <v>8.9505547305953183E-4</v>
      </c>
      <c r="K46" s="45">
        <f t="shared" si="11"/>
        <v>1.6590473873229726E-6</v>
      </c>
    </row>
    <row r="47" spans="1:12" x14ac:dyDescent="0.3">
      <c r="A47" s="75">
        <v>39416</v>
      </c>
      <c r="B47" s="61">
        <v>3.0390000000000001</v>
      </c>
      <c r="C47" s="61">
        <v>0.879</v>
      </c>
      <c r="D47" s="60">
        <v>-2.0459999999999998</v>
      </c>
      <c r="F47" s="16">
        <f t="shared" si="12"/>
        <v>-11</v>
      </c>
      <c r="G47" s="16">
        <f t="shared" si="13"/>
        <v>-9</v>
      </c>
      <c r="H47" s="39">
        <f t="shared" si="14"/>
        <v>-10</v>
      </c>
      <c r="I47" s="39" cm="1">
        <f t="array" ref="I47">SUMPRODUCT(IF($D$9:$D$248&gt;$F47,1,0),IF($D$9:$D$248&lt;=$G47,1,0))</f>
        <v>0</v>
      </c>
      <c r="J47" s="40">
        <f t="shared" si="10"/>
        <v>2.543863731562155E-2</v>
      </c>
      <c r="K47" s="45">
        <f t="shared" si="11"/>
        <v>4.7152278317761373E-5</v>
      </c>
    </row>
    <row r="48" spans="1:12" x14ac:dyDescent="0.3">
      <c r="A48" s="75">
        <v>39447</v>
      </c>
      <c r="B48" s="61">
        <v>0.121</v>
      </c>
      <c r="C48" s="61">
        <v>-5.6000000000000001E-2</v>
      </c>
      <c r="D48" s="60">
        <v>0.29299999999999998</v>
      </c>
      <c r="F48" s="16">
        <f t="shared" si="12"/>
        <v>-9</v>
      </c>
      <c r="G48" s="16">
        <f t="shared" si="13"/>
        <v>-7</v>
      </c>
      <c r="H48" s="39">
        <f t="shared" si="14"/>
        <v>-8</v>
      </c>
      <c r="I48" s="39" cm="1">
        <f t="array" ref="I48">SUMPRODUCT(IF($D$9:$D$248&gt;$F48,1,0),IF($D$9:$D$248&lt;=$G48,1,0))</f>
        <v>2</v>
      </c>
      <c r="J48" s="40">
        <f t="shared" si="10"/>
        <v>0.40528716198255954</v>
      </c>
      <c r="K48" s="45">
        <f t="shared" si="11"/>
        <v>7.5122785954741136E-4</v>
      </c>
    </row>
    <row r="49" spans="1:11" x14ac:dyDescent="0.3">
      <c r="A49" s="75">
        <v>39478</v>
      </c>
      <c r="B49" s="61">
        <v>2.5230000000000001</v>
      </c>
      <c r="C49" s="61">
        <v>1.1819999999999999</v>
      </c>
      <c r="D49" s="60">
        <v>-1.359</v>
      </c>
      <c r="F49" s="16">
        <f t="shared" si="12"/>
        <v>-7</v>
      </c>
      <c r="G49" s="16">
        <f t="shared" si="13"/>
        <v>-5</v>
      </c>
      <c r="H49" s="39">
        <f t="shared" si="14"/>
        <v>-6</v>
      </c>
      <c r="I49" s="39" cm="1">
        <f t="array" ref="I49">SUMPRODUCT(IF($D$9:$D$248&gt;$F49,1,0),IF($D$9:$D$248&lt;=$G49,1,0))</f>
        <v>1</v>
      </c>
      <c r="J49" s="40">
        <f t="shared" si="10"/>
        <v>3.6195698601858624</v>
      </c>
      <c r="K49" s="45">
        <f t="shared" si="11"/>
        <v>6.7091237364847959E-3</v>
      </c>
    </row>
    <row r="50" spans="1:11" x14ac:dyDescent="0.3">
      <c r="A50" s="75">
        <v>39507</v>
      </c>
      <c r="B50" s="61">
        <v>1.087</v>
      </c>
      <c r="C50" s="61">
        <v>7.1999999999999995E-2</v>
      </c>
      <c r="D50" s="60">
        <v>-1.1870000000000001</v>
      </c>
      <c r="F50" s="16">
        <f t="shared" si="12"/>
        <v>-5</v>
      </c>
      <c r="G50" s="16">
        <f t="shared" si="13"/>
        <v>-3</v>
      </c>
      <c r="H50" s="39">
        <f t="shared" si="14"/>
        <v>-4</v>
      </c>
      <c r="I50" s="39" cm="1">
        <f t="array" ref="I50">SUMPRODUCT(IF($D$9:$D$248&gt;$F50,1,0),IF($D$9:$D$248&lt;=$G50,1,0))</f>
        <v>7</v>
      </c>
      <c r="J50" s="40">
        <f t="shared" si="10"/>
        <v>18.120750967450306</v>
      </c>
      <c r="K50" s="45">
        <f t="shared" si="11"/>
        <v>3.358806850944656E-2</v>
      </c>
    </row>
    <row r="51" spans="1:11" x14ac:dyDescent="0.3">
      <c r="A51" s="75">
        <v>39538</v>
      </c>
      <c r="B51" s="61">
        <v>0.72499999999999998</v>
      </c>
      <c r="C51" s="61">
        <v>-1.3280000000000001</v>
      </c>
      <c r="D51" s="60">
        <v>-0.51900000000000002</v>
      </c>
      <c r="F51" s="16">
        <f t="shared" si="12"/>
        <v>-3</v>
      </c>
      <c r="G51" s="16">
        <f t="shared" si="13"/>
        <v>-1</v>
      </c>
      <c r="H51" s="39">
        <f t="shared" si="14"/>
        <v>-2</v>
      </c>
      <c r="I51" s="39" cm="1">
        <f t="array" ref="I51">SUMPRODUCT(IF($D$9:$D$248&gt;$F51,1,0),IF($D$9:$D$248&lt;=$G51,1,0))</f>
        <v>35</v>
      </c>
      <c r="J51" s="40">
        <f t="shared" si="10"/>
        <v>50.853463057040159</v>
      </c>
      <c r="K51" s="45">
        <f t="shared" si="11"/>
        <v>9.4260420231513736E-2</v>
      </c>
    </row>
    <row r="52" spans="1:11" x14ac:dyDescent="0.3">
      <c r="A52" s="75">
        <v>39568</v>
      </c>
      <c r="B52" s="61">
        <v>-1.6950000000000001</v>
      </c>
      <c r="C52" s="61">
        <v>0.57199999999999995</v>
      </c>
      <c r="D52" s="60">
        <v>4.1660000000000004</v>
      </c>
      <c r="F52" s="16">
        <f t="shared" si="12"/>
        <v>-1</v>
      </c>
      <c r="G52" s="16">
        <f t="shared" si="13"/>
        <v>1</v>
      </c>
      <c r="H52" s="39">
        <f t="shared" si="14"/>
        <v>0</v>
      </c>
      <c r="I52" s="39" cm="1">
        <f t="array" ref="I52">SUMPRODUCT(IF($D$9:$D$248&gt;$F52,1,0),IF($D$9:$D$248&lt;=$G52,1,0))</f>
        <v>89</v>
      </c>
      <c r="J52" s="40">
        <f t="shared" si="10"/>
        <v>80</v>
      </c>
      <c r="K52" s="45">
        <f t="shared" si="11"/>
        <v>0.14828554763444265</v>
      </c>
    </row>
    <row r="53" spans="1:11" x14ac:dyDescent="0.3">
      <c r="A53" s="75">
        <v>39599</v>
      </c>
      <c r="B53" s="61">
        <v>-1.2050000000000001</v>
      </c>
      <c r="C53" s="61">
        <v>-0.91</v>
      </c>
      <c r="D53" s="60">
        <v>0.42799999999999999</v>
      </c>
      <c r="F53" s="16">
        <f t="shared" si="12"/>
        <v>1</v>
      </c>
      <c r="G53" s="16">
        <f t="shared" si="13"/>
        <v>3</v>
      </c>
      <c r="H53" s="39">
        <f t="shared" si="14"/>
        <v>2</v>
      </c>
      <c r="I53" s="39" cm="1">
        <f t="array" ref="I53">SUMPRODUCT(IF($D$9:$D$248&gt;$F53,1,0),IF($D$9:$D$248&lt;=$G53,1,0))</f>
        <v>80</v>
      </c>
      <c r="J53" s="40">
        <f t="shared" si="10"/>
        <v>70.547975167995261</v>
      </c>
      <c r="K53" s="45">
        <f t="shared" si="11"/>
        <v>0.13076556415359047</v>
      </c>
    </row>
    <row r="54" spans="1:11" x14ac:dyDescent="0.3">
      <c r="A54" s="75">
        <v>39629</v>
      </c>
      <c r="B54" s="61">
        <v>0.83399999999999996</v>
      </c>
      <c r="C54" s="61">
        <v>-0.38400000000000001</v>
      </c>
      <c r="D54" s="60">
        <v>-2.68</v>
      </c>
      <c r="F54" s="16">
        <f t="shared" si="12"/>
        <v>3</v>
      </c>
      <c r="G54" s="16">
        <f t="shared" si="13"/>
        <v>5</v>
      </c>
      <c r="H54" s="39">
        <f t="shared" si="14"/>
        <v>4</v>
      </c>
      <c r="I54" s="39" cm="1">
        <f t="array" ref="I54">SUMPRODUCT(IF($D$9:$D$248&gt;$F54,1,0),IF($D$9:$D$248&lt;=$G54,1,0))</f>
        <v>16</v>
      </c>
      <c r="J54" s="40">
        <f t="shared" si="10"/>
        <v>34.87419826985699</v>
      </c>
      <c r="K54" s="45">
        <f t="shared" si="11"/>
        <v>6.4641744859473452E-2</v>
      </c>
    </row>
    <row r="55" spans="1:11" x14ac:dyDescent="0.3">
      <c r="A55" s="75">
        <v>39660</v>
      </c>
      <c r="B55" s="61">
        <v>0.39900000000000002</v>
      </c>
      <c r="C55" s="61">
        <v>-0.86099999999999999</v>
      </c>
      <c r="D55" s="60">
        <v>-1.603</v>
      </c>
      <c r="F55" s="16">
        <f t="shared" si="12"/>
        <v>5</v>
      </c>
      <c r="G55" s="16">
        <f t="shared" si="13"/>
        <v>7</v>
      </c>
      <c r="H55" s="39">
        <f t="shared" si="14"/>
        <v>6</v>
      </c>
      <c r="I55" s="39" cm="1">
        <f t="array" ref="I55">SUMPRODUCT(IF($D$9:$D$248&gt;$F55,1,0),IF($D$9:$D$248&lt;=$G55,1,0))</f>
        <v>5</v>
      </c>
      <c r="J55" s="40">
        <f t="shared" si="10"/>
        <v>9.6638242657916198</v>
      </c>
      <c r="K55" s="45">
        <f t="shared" si="11"/>
        <v>1.7912568418699076E-2</v>
      </c>
    </row>
    <row r="56" spans="1:11" x14ac:dyDescent="0.3">
      <c r="A56" s="75">
        <v>39691</v>
      </c>
      <c r="B56" s="61">
        <v>1.26</v>
      </c>
      <c r="C56" s="61">
        <v>0.70199999999999996</v>
      </c>
      <c r="D56" s="60">
        <v>0.32300000000000001</v>
      </c>
      <c r="F56" s="16">
        <f t="shared" si="12"/>
        <v>7</v>
      </c>
      <c r="G56" s="16">
        <f t="shared" si="13"/>
        <v>9</v>
      </c>
      <c r="H56" s="39">
        <f t="shared" si="14"/>
        <v>8</v>
      </c>
      <c r="I56" s="39" cm="1">
        <f t="array" ref="I56">SUMPRODUCT(IF($D$9:$D$248&gt;$F56,1,0),IF($D$9:$D$248&lt;=$G56,1,0))</f>
        <v>2</v>
      </c>
      <c r="J56" s="40">
        <f t="shared" si="10"/>
        <v>1.5011321550595893</v>
      </c>
      <c r="K56" s="45">
        <f t="shared" si="11"/>
        <v>2.7824525460585286E-3</v>
      </c>
    </row>
    <row r="57" spans="1:11" x14ac:dyDescent="0.3">
      <c r="A57" s="75">
        <v>39721</v>
      </c>
      <c r="B57" s="61">
        <v>0.65500000000000003</v>
      </c>
      <c r="C57" s="61">
        <v>-7.3369999999999997</v>
      </c>
      <c r="D57" s="60">
        <v>-8.298</v>
      </c>
      <c r="F57" s="16">
        <f t="shared" si="12"/>
        <v>9</v>
      </c>
      <c r="G57" s="16">
        <f t="shared" si="13"/>
        <v>11</v>
      </c>
      <c r="H57" s="39">
        <f t="shared" si="14"/>
        <v>10</v>
      </c>
      <c r="I57" s="39" cm="1">
        <f t="array" ref="I57">SUMPRODUCT(IF($D$9:$D$248&gt;$F57,1,0),IF($D$9:$D$248&lt;=$G57,1,0))</f>
        <v>0</v>
      </c>
      <c r="J57" s="40">
        <f t="shared" si="10"/>
        <v>0.13071154394402137</v>
      </c>
      <c r="K57" s="45">
        <f t="shared" si="11"/>
        <v>2.4228291094853408E-4</v>
      </c>
    </row>
    <row r="58" spans="1:11" x14ac:dyDescent="0.3">
      <c r="A58" s="75">
        <v>39752</v>
      </c>
      <c r="B58" s="61">
        <v>-0.14599999999999999</v>
      </c>
      <c r="C58" s="61">
        <v>-7.3810000000000002</v>
      </c>
      <c r="D58" s="60">
        <v>-16.297999999999998</v>
      </c>
      <c r="F58" s="16">
        <f t="shared" si="12"/>
        <v>11</v>
      </c>
      <c r="G58" s="16">
        <f t="shared" si="13"/>
        <v>13</v>
      </c>
      <c r="H58" s="39">
        <f t="shared" si="14"/>
        <v>12</v>
      </c>
      <c r="I58" s="39" cm="1">
        <f t="array" ref="I58">SUMPRODUCT(IF($D$9:$D$248&gt;$F58,1,0),IF($D$9:$D$248&lt;=$G58,1,0))</f>
        <v>1</v>
      </c>
      <c r="J58" s="40">
        <f t="shared" si="10"/>
        <v>6.3801967817444238E-3</v>
      </c>
      <c r="K58" s="45">
        <f t="shared" si="11"/>
        <v>1.1826137172456006E-5</v>
      </c>
    </row>
    <row r="59" spans="1:11" x14ac:dyDescent="0.3">
      <c r="A59" s="75">
        <v>39782</v>
      </c>
      <c r="B59" s="61">
        <v>5.3769999999999998</v>
      </c>
      <c r="C59" s="61">
        <v>3.879</v>
      </c>
      <c r="D59" s="60">
        <v>-8.4320000000000004</v>
      </c>
    </row>
    <row r="60" spans="1:11" x14ac:dyDescent="0.3">
      <c r="A60" s="75">
        <v>39813</v>
      </c>
      <c r="B60" s="61">
        <v>3.544</v>
      </c>
      <c r="C60" s="61">
        <v>5.5540000000000003</v>
      </c>
      <c r="D60" s="60">
        <v>7.4740000000000002</v>
      </c>
    </row>
    <row r="61" spans="1:11" x14ac:dyDescent="0.3">
      <c r="A61" s="75">
        <v>39844</v>
      </c>
      <c r="B61" s="61">
        <v>-3.081</v>
      </c>
      <c r="C61" s="61">
        <v>0.33300000000000002</v>
      </c>
      <c r="D61" s="60">
        <v>5.3079999999999998</v>
      </c>
    </row>
    <row r="62" spans="1:11" x14ac:dyDescent="0.3">
      <c r="A62" s="75">
        <v>39872</v>
      </c>
      <c r="B62" s="61">
        <v>-0.54400000000000004</v>
      </c>
      <c r="C62" s="61">
        <v>-1.5580000000000001</v>
      </c>
      <c r="D62" s="60">
        <v>-3.4670000000000001</v>
      </c>
    </row>
    <row r="63" spans="1:11" x14ac:dyDescent="0.3">
      <c r="A63" s="75">
        <v>39903</v>
      </c>
      <c r="B63" s="61">
        <v>2.2610000000000001</v>
      </c>
      <c r="C63" s="61">
        <v>-0.20699999999999999</v>
      </c>
      <c r="D63" s="60">
        <v>3.3039999999999998</v>
      </c>
    </row>
    <row r="64" spans="1:11" x14ac:dyDescent="0.3">
      <c r="A64" s="75">
        <v>39933</v>
      </c>
      <c r="B64" s="61">
        <v>-1.899</v>
      </c>
      <c r="C64" s="61">
        <v>3.0840000000000001</v>
      </c>
      <c r="D64" s="60">
        <v>11.465999999999999</v>
      </c>
    </row>
    <row r="65" spans="1:6" x14ac:dyDescent="0.3">
      <c r="A65" s="75">
        <v>39964</v>
      </c>
      <c r="B65" s="61">
        <v>-1.0089999999999999</v>
      </c>
      <c r="C65" s="61">
        <v>4.335</v>
      </c>
      <c r="D65" s="60">
        <v>7.1130000000000004</v>
      </c>
      <c r="F65" s="36"/>
    </row>
    <row r="66" spans="1:6" x14ac:dyDescent="0.3">
      <c r="A66" s="75">
        <v>39994</v>
      </c>
      <c r="B66" s="61">
        <v>-0.19700000000000001</v>
      </c>
      <c r="C66" s="61">
        <v>3.0350000000000001</v>
      </c>
      <c r="D66" s="60">
        <v>3.18</v>
      </c>
    </row>
    <row r="67" spans="1:6" x14ac:dyDescent="0.3">
      <c r="A67" s="75">
        <v>40025</v>
      </c>
      <c r="B67" s="61">
        <v>0.40200000000000002</v>
      </c>
      <c r="C67" s="61">
        <v>3.948</v>
      </c>
      <c r="D67" s="60">
        <v>6.1829999999999998</v>
      </c>
    </row>
    <row r="68" spans="1:6" x14ac:dyDescent="0.3">
      <c r="A68" s="75">
        <v>40056</v>
      </c>
      <c r="B68" s="61">
        <v>0.92900000000000005</v>
      </c>
      <c r="C68" s="61">
        <v>2.1629999999999998</v>
      </c>
      <c r="D68" s="60">
        <v>2.0339999999999998</v>
      </c>
    </row>
    <row r="69" spans="1:6" x14ac:dyDescent="0.3">
      <c r="A69" s="75">
        <v>40086</v>
      </c>
      <c r="B69" s="61">
        <v>0.78600000000000003</v>
      </c>
      <c r="C69" s="61">
        <v>2.0030000000000001</v>
      </c>
      <c r="D69" s="60">
        <v>5.976</v>
      </c>
    </row>
    <row r="70" spans="1:6" x14ac:dyDescent="0.3">
      <c r="A70" s="75">
        <v>40117</v>
      </c>
      <c r="B70" s="61">
        <v>-5.7000000000000002E-2</v>
      </c>
      <c r="C70" s="61">
        <v>0.81699999999999995</v>
      </c>
      <c r="D70" s="60">
        <v>1.786</v>
      </c>
    </row>
    <row r="71" spans="1:6" x14ac:dyDescent="0.3">
      <c r="A71" s="75">
        <v>40147</v>
      </c>
      <c r="B71" s="61">
        <v>1.4119999999999999</v>
      </c>
      <c r="C71" s="61">
        <v>1.415</v>
      </c>
      <c r="D71" s="60">
        <v>1.0129999999999999</v>
      </c>
    </row>
    <row r="72" spans="1:6" x14ac:dyDescent="0.3">
      <c r="A72" s="75">
        <v>40178</v>
      </c>
      <c r="B72" s="61">
        <v>-2.6389999999999998</v>
      </c>
      <c r="C72" s="61">
        <v>-1.0029999999999999</v>
      </c>
      <c r="D72" s="60">
        <v>3.1349999999999998</v>
      </c>
    </row>
    <row r="73" spans="1:6" x14ac:dyDescent="0.3">
      <c r="A73" s="75">
        <v>40209</v>
      </c>
      <c r="B73" s="61">
        <v>1.579</v>
      </c>
      <c r="C73" s="61">
        <v>2.0089999999999999</v>
      </c>
      <c r="D73" s="60">
        <v>1.5149999999999999</v>
      </c>
    </row>
    <row r="74" spans="1:6" x14ac:dyDescent="0.3">
      <c r="A74" s="75">
        <v>40237</v>
      </c>
      <c r="B74" s="61">
        <v>0.39500000000000002</v>
      </c>
      <c r="C74" s="61">
        <v>0.375</v>
      </c>
      <c r="D74" s="60">
        <v>0.155</v>
      </c>
    </row>
    <row r="75" spans="1:6" x14ac:dyDescent="0.3">
      <c r="A75" s="75">
        <v>40268</v>
      </c>
      <c r="B75" s="61">
        <v>-0.85099999999999998</v>
      </c>
      <c r="C75" s="61">
        <v>0.34699999999999998</v>
      </c>
      <c r="D75" s="60">
        <v>3.0960000000000001</v>
      </c>
    </row>
    <row r="76" spans="1:6" x14ac:dyDescent="0.3">
      <c r="A76" s="75">
        <v>40298</v>
      </c>
      <c r="B76" s="61">
        <v>1.056</v>
      </c>
      <c r="C76" s="61">
        <v>1.758</v>
      </c>
      <c r="D76" s="60">
        <v>2.2389999999999999</v>
      </c>
    </row>
    <row r="77" spans="1:6" x14ac:dyDescent="0.3">
      <c r="A77" s="75">
        <v>40329</v>
      </c>
      <c r="B77" s="61">
        <v>1.7210000000000001</v>
      </c>
      <c r="C77" s="61">
        <v>-0.57099999999999995</v>
      </c>
      <c r="D77" s="60">
        <v>-3.5209999999999999</v>
      </c>
    </row>
    <row r="78" spans="1:6" x14ac:dyDescent="0.3">
      <c r="A78" s="75">
        <v>40359</v>
      </c>
      <c r="B78" s="61">
        <v>1.87</v>
      </c>
      <c r="C78" s="61">
        <v>2.0579999999999998</v>
      </c>
      <c r="D78" s="60">
        <v>1.304</v>
      </c>
    </row>
    <row r="79" spans="1:6" x14ac:dyDescent="0.3">
      <c r="A79" s="75">
        <v>40390</v>
      </c>
      <c r="B79" s="61">
        <v>0.67600000000000005</v>
      </c>
      <c r="C79" s="61">
        <v>2.0470000000000002</v>
      </c>
      <c r="D79" s="60">
        <v>3.4649999999999999</v>
      </c>
    </row>
    <row r="80" spans="1:6" x14ac:dyDescent="0.3">
      <c r="A80" s="75">
        <v>40421</v>
      </c>
      <c r="B80" s="61">
        <v>2.0470000000000002</v>
      </c>
      <c r="C80" s="61">
        <v>2.1890000000000001</v>
      </c>
      <c r="D80" s="60">
        <v>0.156</v>
      </c>
    </row>
    <row r="81" spans="1:4" x14ac:dyDescent="0.3">
      <c r="A81" s="75">
        <v>40451</v>
      </c>
      <c r="B81" s="61">
        <v>3.0000000000000001E-3</v>
      </c>
      <c r="C81" s="61">
        <v>0.59</v>
      </c>
      <c r="D81" s="60">
        <v>2.9689999999999999</v>
      </c>
    </row>
    <row r="82" spans="1:4" x14ac:dyDescent="0.3">
      <c r="A82" s="75">
        <v>40482</v>
      </c>
      <c r="B82" s="61">
        <v>-0.17799999999999999</v>
      </c>
      <c r="C82" s="61">
        <v>0.21</v>
      </c>
      <c r="D82" s="60">
        <v>2.4249999999999998</v>
      </c>
    </row>
    <row r="83" spans="1:4" x14ac:dyDescent="0.3">
      <c r="A83" s="75">
        <v>40512</v>
      </c>
      <c r="B83" s="61">
        <v>-0.68200000000000005</v>
      </c>
      <c r="C83" s="61">
        <v>-0.85499999999999998</v>
      </c>
      <c r="D83" s="60">
        <v>-1.1160000000000001</v>
      </c>
    </row>
    <row r="84" spans="1:4" x14ac:dyDescent="0.3">
      <c r="A84" s="75">
        <v>40543</v>
      </c>
      <c r="B84" s="61">
        <v>-1.825</v>
      </c>
      <c r="C84" s="61">
        <v>-0.94799999999999995</v>
      </c>
      <c r="D84" s="60">
        <v>1.7609999999999999</v>
      </c>
    </row>
    <row r="85" spans="1:4" x14ac:dyDescent="0.3">
      <c r="A85" s="75">
        <v>40574</v>
      </c>
      <c r="B85" s="61">
        <v>7.0000000000000001E-3</v>
      </c>
      <c r="C85" s="61">
        <v>0.23699999999999999</v>
      </c>
      <c r="D85" s="60">
        <v>2.1019999999999999</v>
      </c>
    </row>
    <row r="86" spans="1:4" x14ac:dyDescent="0.3">
      <c r="A86" s="75">
        <v>40602</v>
      </c>
      <c r="B86" s="61">
        <v>-8.5000000000000006E-2</v>
      </c>
      <c r="C86" s="61">
        <v>0.70899999999999996</v>
      </c>
      <c r="D86" s="60">
        <v>1.337</v>
      </c>
    </row>
    <row r="87" spans="1:4" x14ac:dyDescent="0.3">
      <c r="A87" s="75">
        <v>40633</v>
      </c>
      <c r="B87" s="61">
        <v>-5.7000000000000002E-2</v>
      </c>
      <c r="C87" s="61">
        <v>2.8000000000000001E-2</v>
      </c>
      <c r="D87" s="60">
        <v>0.42</v>
      </c>
    </row>
    <row r="88" spans="1:4" x14ac:dyDescent="0.3">
      <c r="A88" s="75">
        <v>40663</v>
      </c>
      <c r="B88" s="61">
        <v>1.1539999999999999</v>
      </c>
      <c r="C88" s="61">
        <v>1.698</v>
      </c>
      <c r="D88" s="60">
        <v>1.52</v>
      </c>
    </row>
    <row r="89" spans="1:4" x14ac:dyDescent="0.3">
      <c r="A89" s="75">
        <v>40694</v>
      </c>
      <c r="B89" s="61">
        <v>1.58</v>
      </c>
      <c r="C89" s="61">
        <v>1.4319999999999999</v>
      </c>
      <c r="D89" s="60">
        <v>0.48899999999999999</v>
      </c>
    </row>
    <row r="90" spans="1:4" x14ac:dyDescent="0.3">
      <c r="A90" s="75">
        <v>40724</v>
      </c>
      <c r="B90" s="61">
        <v>-0.307</v>
      </c>
      <c r="C90" s="61">
        <v>-0.83299999999999996</v>
      </c>
      <c r="D90" s="60">
        <v>-1.004</v>
      </c>
    </row>
    <row r="91" spans="1:4" x14ac:dyDescent="0.3">
      <c r="A91" s="75">
        <v>40755</v>
      </c>
      <c r="B91" s="61">
        <v>1.8260000000000001</v>
      </c>
      <c r="C91" s="61">
        <v>2.294</v>
      </c>
      <c r="D91" s="60">
        <v>1.2350000000000001</v>
      </c>
    </row>
    <row r="92" spans="1:4" x14ac:dyDescent="0.3">
      <c r="A92" s="75">
        <v>40786</v>
      </c>
      <c r="B92" s="61">
        <v>2.802</v>
      </c>
      <c r="C92" s="61">
        <v>0.10299999999999999</v>
      </c>
      <c r="D92" s="60">
        <v>-4.0069999999999997</v>
      </c>
    </row>
    <row r="93" spans="1:4" x14ac:dyDescent="0.3">
      <c r="A93" s="75">
        <v>40816</v>
      </c>
      <c r="B93" s="61">
        <v>1.6020000000000001</v>
      </c>
      <c r="C93" s="61">
        <v>-0.13400000000000001</v>
      </c>
      <c r="D93" s="60">
        <v>-3.5950000000000002</v>
      </c>
    </row>
    <row r="94" spans="1:4" x14ac:dyDescent="0.3">
      <c r="A94" s="75">
        <v>40847</v>
      </c>
      <c r="B94" s="61">
        <v>-0.76</v>
      </c>
      <c r="C94" s="61">
        <v>1.754</v>
      </c>
      <c r="D94" s="60">
        <v>5.9560000000000004</v>
      </c>
    </row>
    <row r="95" spans="1:4" x14ac:dyDescent="0.3">
      <c r="A95" s="75">
        <v>40877</v>
      </c>
      <c r="B95" s="61">
        <v>0.73</v>
      </c>
      <c r="C95" s="61">
        <v>-1.8660000000000001</v>
      </c>
      <c r="D95" s="60">
        <v>-2.2120000000000002</v>
      </c>
    </row>
    <row r="96" spans="1:4" x14ac:dyDescent="0.3">
      <c r="A96" s="75">
        <v>40908</v>
      </c>
      <c r="B96" s="61">
        <v>0.94599999999999995</v>
      </c>
      <c r="C96" s="61">
        <v>1.9259999999999999</v>
      </c>
      <c r="D96" s="60">
        <v>2.4790000000000001</v>
      </c>
    </row>
    <row r="97" spans="1:4" x14ac:dyDescent="0.3">
      <c r="A97" s="75">
        <v>40939</v>
      </c>
      <c r="B97" s="61">
        <v>0.45100000000000001</v>
      </c>
      <c r="C97" s="61">
        <v>2.1829999999999998</v>
      </c>
      <c r="D97" s="60">
        <v>2.903</v>
      </c>
    </row>
    <row r="98" spans="1:4" x14ac:dyDescent="0.3">
      <c r="A98" s="75">
        <v>40968</v>
      </c>
      <c r="B98" s="61">
        <v>-0.70899999999999996</v>
      </c>
      <c r="C98" s="61">
        <v>0.84899999999999998</v>
      </c>
      <c r="D98" s="60">
        <v>2.2789999999999999</v>
      </c>
    </row>
    <row r="99" spans="1:4" x14ac:dyDescent="0.3">
      <c r="A99" s="75">
        <v>40999</v>
      </c>
      <c r="B99" s="61">
        <v>-1.032</v>
      </c>
      <c r="C99" s="61">
        <v>-0.59</v>
      </c>
      <c r="D99" s="60">
        <v>-9.4E-2</v>
      </c>
    </row>
    <row r="100" spans="1:4" x14ac:dyDescent="0.3">
      <c r="A100" s="75">
        <v>41029</v>
      </c>
      <c r="B100" s="61">
        <v>1.5249999999999999</v>
      </c>
      <c r="C100" s="61">
        <v>1.276</v>
      </c>
      <c r="D100" s="60">
        <v>1.022</v>
      </c>
    </row>
    <row r="101" spans="1:4" x14ac:dyDescent="0.3">
      <c r="A101" s="75">
        <v>41060</v>
      </c>
      <c r="B101" s="61">
        <v>1.833</v>
      </c>
      <c r="C101" s="61">
        <v>0.57899999999999996</v>
      </c>
      <c r="D101" s="60">
        <v>-1.2070000000000001</v>
      </c>
    </row>
    <row r="102" spans="1:4" x14ac:dyDescent="0.3">
      <c r="A102" s="75">
        <v>41090</v>
      </c>
      <c r="B102" s="61">
        <v>-0.377</v>
      </c>
      <c r="C102" s="61">
        <v>0.499</v>
      </c>
      <c r="D102" s="60">
        <v>2.0339999999999998</v>
      </c>
    </row>
    <row r="103" spans="1:4" x14ac:dyDescent="0.3">
      <c r="A103" s="75">
        <v>41121</v>
      </c>
      <c r="B103" s="61">
        <v>1.0669999999999999</v>
      </c>
      <c r="C103" s="61">
        <v>2.8069999999999999</v>
      </c>
      <c r="D103" s="60">
        <v>1.9159999999999999</v>
      </c>
    </row>
    <row r="104" spans="1:4" x14ac:dyDescent="0.3">
      <c r="A104" s="75">
        <v>41152</v>
      </c>
      <c r="B104" s="61">
        <v>-0.13500000000000001</v>
      </c>
      <c r="C104" s="61">
        <v>0.4</v>
      </c>
      <c r="D104" s="60">
        <v>1.206</v>
      </c>
    </row>
    <row r="105" spans="1:4" x14ac:dyDescent="0.3">
      <c r="A105" s="75">
        <v>41182</v>
      </c>
      <c r="B105" s="61">
        <v>-0.34399999999999997</v>
      </c>
      <c r="C105" s="61">
        <v>0.73899999999999999</v>
      </c>
      <c r="D105" s="60">
        <v>1.4239999999999999</v>
      </c>
    </row>
    <row r="106" spans="1:4" x14ac:dyDescent="0.3">
      <c r="A106" s="75">
        <v>41213</v>
      </c>
      <c r="B106" s="61">
        <v>-0.17299999999999999</v>
      </c>
      <c r="C106" s="61">
        <v>1.3160000000000001</v>
      </c>
      <c r="D106" s="60">
        <v>0.82499999999999996</v>
      </c>
    </row>
    <row r="107" spans="1:4" x14ac:dyDescent="0.3">
      <c r="A107" s="75">
        <v>41243</v>
      </c>
      <c r="B107" s="61">
        <v>0.57499999999999996</v>
      </c>
      <c r="C107" s="61">
        <v>-8.2000000000000003E-2</v>
      </c>
      <c r="D107" s="60">
        <v>0.74199999999999999</v>
      </c>
    </row>
    <row r="108" spans="1:4" x14ac:dyDescent="0.3">
      <c r="A108" s="75">
        <v>41274</v>
      </c>
      <c r="B108" s="61">
        <v>-0.49399999999999999</v>
      </c>
      <c r="C108" s="61">
        <v>-1.9E-2</v>
      </c>
      <c r="D108" s="60">
        <v>1.5860000000000001</v>
      </c>
    </row>
    <row r="109" spans="1:4" x14ac:dyDescent="0.3">
      <c r="A109" s="75">
        <v>41305</v>
      </c>
      <c r="B109" s="61">
        <v>-0.95</v>
      </c>
      <c r="C109" s="61">
        <v>-0.71799999999999997</v>
      </c>
      <c r="D109" s="60">
        <v>1.3759999999999999</v>
      </c>
    </row>
    <row r="110" spans="1:4" x14ac:dyDescent="0.3">
      <c r="A110" s="75">
        <v>41333</v>
      </c>
      <c r="B110" s="61">
        <v>0.59399999999999997</v>
      </c>
      <c r="C110" s="61">
        <v>0.70699999999999996</v>
      </c>
      <c r="D110" s="60">
        <v>0.46300000000000002</v>
      </c>
    </row>
    <row r="111" spans="1:4" x14ac:dyDescent="0.3">
      <c r="A111" s="75">
        <v>41364</v>
      </c>
      <c r="B111" s="61">
        <v>0.107</v>
      </c>
      <c r="C111" s="61">
        <v>6.6000000000000003E-2</v>
      </c>
      <c r="D111" s="60">
        <v>1.0309999999999999</v>
      </c>
    </row>
    <row r="112" spans="1:4" x14ac:dyDescent="0.3">
      <c r="A112" s="75">
        <v>41394</v>
      </c>
      <c r="B112" s="61">
        <v>1.0529999999999999</v>
      </c>
      <c r="C112" s="61">
        <v>1.7</v>
      </c>
      <c r="D112" s="60">
        <v>1.857</v>
      </c>
    </row>
    <row r="113" spans="1:4" x14ac:dyDescent="0.3">
      <c r="A113" s="75">
        <v>41425</v>
      </c>
      <c r="B113" s="61">
        <v>-2.0150000000000001</v>
      </c>
      <c r="C113" s="61">
        <v>-2.2810000000000001</v>
      </c>
      <c r="D113" s="60">
        <v>-0.53100000000000003</v>
      </c>
    </row>
    <row r="114" spans="1:4" x14ac:dyDescent="0.3">
      <c r="A114" s="75">
        <v>41455</v>
      </c>
      <c r="B114" s="61">
        <v>-1.2549999999999999</v>
      </c>
      <c r="C114" s="61">
        <v>-2.76</v>
      </c>
      <c r="D114" s="60">
        <v>-2.6360000000000001</v>
      </c>
    </row>
    <row r="115" spans="1:4" x14ac:dyDescent="0.3">
      <c r="A115" s="75">
        <v>41486</v>
      </c>
      <c r="B115" s="61">
        <v>-0.19500000000000001</v>
      </c>
      <c r="C115" s="61">
        <v>0.73899999999999999</v>
      </c>
      <c r="D115" s="60">
        <v>1.88</v>
      </c>
    </row>
    <row r="116" spans="1:4" x14ac:dyDescent="0.3">
      <c r="A116" s="75">
        <v>41517</v>
      </c>
      <c r="B116" s="61">
        <v>-0.53900000000000003</v>
      </c>
      <c r="C116" s="61">
        <v>-0.66900000000000004</v>
      </c>
      <c r="D116" s="60">
        <v>-0.62</v>
      </c>
    </row>
    <row r="117" spans="1:4" x14ac:dyDescent="0.3">
      <c r="A117" s="75">
        <v>41547</v>
      </c>
      <c r="B117" s="61">
        <v>0.76400000000000001</v>
      </c>
      <c r="C117" s="61">
        <v>0.82399999999999995</v>
      </c>
      <c r="D117" s="60">
        <v>0.99099999999999999</v>
      </c>
    </row>
    <row r="118" spans="1:4" x14ac:dyDescent="0.3">
      <c r="A118" s="75">
        <v>41578</v>
      </c>
      <c r="B118" s="61">
        <v>0.54800000000000004</v>
      </c>
      <c r="C118" s="61">
        <v>1.4970000000000001</v>
      </c>
      <c r="D118" s="60">
        <v>2.4580000000000002</v>
      </c>
    </row>
    <row r="119" spans="1:4" x14ac:dyDescent="0.3">
      <c r="A119" s="75">
        <v>41608</v>
      </c>
      <c r="B119" s="61">
        <v>-0.42699999999999999</v>
      </c>
      <c r="C119" s="61">
        <v>-0.28799999999999998</v>
      </c>
      <c r="D119" s="60">
        <v>0.46500000000000002</v>
      </c>
    </row>
    <row r="120" spans="1:4" x14ac:dyDescent="0.3">
      <c r="A120" s="75">
        <v>41639</v>
      </c>
      <c r="B120" s="61">
        <v>-1.0389999999999999</v>
      </c>
      <c r="C120" s="61">
        <v>-0.18</v>
      </c>
      <c r="D120" s="60">
        <v>0.54800000000000004</v>
      </c>
    </row>
    <row r="121" spans="1:4" x14ac:dyDescent="0.3">
      <c r="A121" s="75">
        <v>41670</v>
      </c>
      <c r="B121" s="61">
        <v>1.597</v>
      </c>
      <c r="C121" s="61">
        <v>1.784</v>
      </c>
      <c r="D121" s="60">
        <v>0.74</v>
      </c>
    </row>
    <row r="122" spans="1:4" x14ac:dyDescent="0.3">
      <c r="A122" s="75">
        <v>41698</v>
      </c>
      <c r="B122" s="61">
        <v>0.312</v>
      </c>
      <c r="C122" s="61">
        <v>1.097</v>
      </c>
      <c r="D122" s="60">
        <v>2.004</v>
      </c>
    </row>
    <row r="123" spans="1:4" x14ac:dyDescent="0.3">
      <c r="A123" s="75">
        <v>41729</v>
      </c>
      <c r="B123" s="61">
        <v>-0.28199999999999997</v>
      </c>
      <c r="C123" s="61">
        <v>7.0999999999999994E-2</v>
      </c>
      <c r="D123" s="60">
        <v>0.23100000000000001</v>
      </c>
    </row>
    <row r="124" spans="1:4" x14ac:dyDescent="0.3">
      <c r="A124" s="75">
        <v>41759</v>
      </c>
      <c r="B124" s="61">
        <v>0.624</v>
      </c>
      <c r="C124" s="61">
        <v>1.1659999999999999</v>
      </c>
      <c r="D124" s="60">
        <v>0.69299999999999995</v>
      </c>
    </row>
    <row r="125" spans="1:4" x14ac:dyDescent="0.3">
      <c r="A125" s="75">
        <v>41790</v>
      </c>
      <c r="B125" s="61">
        <v>1.091</v>
      </c>
      <c r="C125" s="61">
        <v>1.5289999999999999</v>
      </c>
      <c r="D125" s="60">
        <v>1.0069999999999999</v>
      </c>
    </row>
    <row r="126" spans="1:4" x14ac:dyDescent="0.3">
      <c r="A126" s="75">
        <v>41820</v>
      </c>
      <c r="B126" s="61">
        <v>-0.156</v>
      </c>
      <c r="C126" s="61">
        <v>0.16700000000000001</v>
      </c>
      <c r="D126" s="60">
        <v>0.84499999999999997</v>
      </c>
    </row>
    <row r="127" spans="1:4" x14ac:dyDescent="0.3">
      <c r="A127" s="75">
        <v>41851</v>
      </c>
      <c r="B127" s="61">
        <v>-0.15</v>
      </c>
      <c r="C127" s="61">
        <v>-0.11799999999999999</v>
      </c>
      <c r="D127" s="60">
        <v>-1.3220000000000001</v>
      </c>
    </row>
    <row r="128" spans="1:4" x14ac:dyDescent="0.3">
      <c r="A128" s="75">
        <v>41882</v>
      </c>
      <c r="B128" s="61">
        <v>1.218</v>
      </c>
      <c r="C128" s="61">
        <v>1.427</v>
      </c>
      <c r="D128" s="60">
        <v>1.52</v>
      </c>
    </row>
    <row r="129" spans="1:4" x14ac:dyDescent="0.3">
      <c r="A129" s="75">
        <v>41912</v>
      </c>
      <c r="B129" s="61">
        <v>-0.63300000000000001</v>
      </c>
      <c r="C129" s="61">
        <v>-1.2430000000000001</v>
      </c>
      <c r="D129" s="60">
        <v>-2.0979999999999999</v>
      </c>
    </row>
    <row r="130" spans="1:4" x14ac:dyDescent="0.3">
      <c r="A130" s="75">
        <v>41943</v>
      </c>
      <c r="B130" s="61">
        <v>1.0860000000000001</v>
      </c>
      <c r="C130" s="61">
        <v>0.93300000000000005</v>
      </c>
      <c r="D130" s="60">
        <v>1.1379999999999999</v>
      </c>
    </row>
    <row r="131" spans="1:4" x14ac:dyDescent="0.3">
      <c r="A131" s="75">
        <v>41973</v>
      </c>
      <c r="B131" s="61">
        <v>0.92200000000000004</v>
      </c>
      <c r="C131" s="61">
        <v>0.63500000000000001</v>
      </c>
      <c r="D131" s="60">
        <v>-0.71499999999999997</v>
      </c>
    </row>
    <row r="132" spans="1:4" x14ac:dyDescent="0.3">
      <c r="A132" s="75">
        <v>42004</v>
      </c>
      <c r="B132" s="61">
        <v>0.25900000000000001</v>
      </c>
      <c r="C132" s="61">
        <v>-0.14000000000000001</v>
      </c>
      <c r="D132" s="60">
        <v>-1.474</v>
      </c>
    </row>
    <row r="133" spans="1:4" x14ac:dyDescent="0.3">
      <c r="A133" s="75">
        <v>42035</v>
      </c>
      <c r="B133" s="61">
        <v>2.883</v>
      </c>
      <c r="C133" s="61">
        <v>2.74</v>
      </c>
      <c r="D133" s="60">
        <v>0.69</v>
      </c>
    </row>
    <row r="134" spans="1:4" x14ac:dyDescent="0.3">
      <c r="A134" s="75">
        <v>42063</v>
      </c>
      <c r="B134" s="61">
        <v>-1.748</v>
      </c>
      <c r="C134" s="61">
        <v>-0.83599999999999997</v>
      </c>
      <c r="D134" s="60">
        <v>2.3860000000000001</v>
      </c>
    </row>
    <row r="135" spans="1:4" x14ac:dyDescent="0.3">
      <c r="A135" s="75">
        <v>42094</v>
      </c>
      <c r="B135" s="61">
        <v>0.65900000000000003</v>
      </c>
      <c r="C135" s="61">
        <v>0.372</v>
      </c>
      <c r="D135" s="60">
        <v>-0.53100000000000003</v>
      </c>
    </row>
    <row r="136" spans="1:4" x14ac:dyDescent="0.3">
      <c r="A136" s="75">
        <v>42124</v>
      </c>
      <c r="B136" s="61">
        <v>-0.61799999999999999</v>
      </c>
      <c r="C136" s="61">
        <v>-0.53400000000000003</v>
      </c>
      <c r="D136" s="60">
        <v>1.1990000000000001</v>
      </c>
    </row>
    <row r="137" spans="1:4" x14ac:dyDescent="0.3">
      <c r="A137" s="75">
        <v>42155</v>
      </c>
      <c r="B137" s="61">
        <v>-0.23400000000000001</v>
      </c>
      <c r="C137" s="61">
        <v>-0.505</v>
      </c>
      <c r="D137" s="60">
        <v>0.29599999999999999</v>
      </c>
    </row>
    <row r="138" spans="1:4" x14ac:dyDescent="0.3">
      <c r="A138" s="75">
        <v>42185</v>
      </c>
      <c r="B138" s="61">
        <v>-0.996</v>
      </c>
      <c r="C138" s="61">
        <v>-1.639</v>
      </c>
      <c r="D138" s="60">
        <v>-1.5249999999999999</v>
      </c>
    </row>
    <row r="139" spans="1:4" x14ac:dyDescent="0.3">
      <c r="A139" s="75">
        <v>42216</v>
      </c>
      <c r="B139" s="61">
        <v>0.93899999999999995</v>
      </c>
      <c r="C139" s="61">
        <v>0.53900000000000003</v>
      </c>
      <c r="D139" s="60">
        <v>-0.61599999999999999</v>
      </c>
    </row>
    <row r="140" spans="1:4" x14ac:dyDescent="0.3">
      <c r="A140" s="75">
        <v>42247</v>
      </c>
      <c r="B140" s="61">
        <v>5.7000000000000002E-2</v>
      </c>
      <c r="C140" s="61">
        <v>-0.67100000000000004</v>
      </c>
      <c r="D140" s="60">
        <v>-1.7609999999999999</v>
      </c>
    </row>
    <row r="141" spans="1:4" x14ac:dyDescent="0.3">
      <c r="A141" s="75">
        <v>42277</v>
      </c>
      <c r="B141" s="61">
        <v>0.89800000000000002</v>
      </c>
      <c r="C141" s="61">
        <v>0.52400000000000002</v>
      </c>
      <c r="D141" s="60">
        <v>-2.5939999999999999</v>
      </c>
    </row>
    <row r="142" spans="1:4" x14ac:dyDescent="0.3">
      <c r="A142" s="75">
        <v>42308</v>
      </c>
      <c r="B142" s="61">
        <v>-0.35599999999999998</v>
      </c>
      <c r="C142" s="61">
        <v>0.53600000000000003</v>
      </c>
      <c r="D142" s="60">
        <v>2.726</v>
      </c>
    </row>
    <row r="143" spans="1:4" x14ac:dyDescent="0.3">
      <c r="A143" s="75">
        <v>42338</v>
      </c>
      <c r="B143" s="61">
        <v>-0.42299999999999999</v>
      </c>
      <c r="C143" s="61">
        <v>-0.224</v>
      </c>
      <c r="D143" s="60">
        <v>-2.2450000000000001</v>
      </c>
    </row>
    <row r="144" spans="1:4" x14ac:dyDescent="0.3">
      <c r="A144" s="75">
        <v>42369</v>
      </c>
      <c r="B144" s="61">
        <v>-0.157</v>
      </c>
      <c r="C144" s="61">
        <v>-0.86699999999999999</v>
      </c>
      <c r="D144" s="60">
        <v>-2.5790000000000002</v>
      </c>
    </row>
    <row r="145" spans="1:4" x14ac:dyDescent="0.3">
      <c r="A145" s="75">
        <v>42400</v>
      </c>
      <c r="B145" s="61">
        <v>2.2000000000000002</v>
      </c>
      <c r="C145" s="61">
        <v>0.439</v>
      </c>
      <c r="D145" s="60">
        <v>-1.5820000000000001</v>
      </c>
    </row>
    <row r="146" spans="1:4" x14ac:dyDescent="0.3">
      <c r="A146" s="75">
        <v>42429</v>
      </c>
      <c r="B146" s="61">
        <v>0.98399999999999999</v>
      </c>
      <c r="C146" s="61">
        <v>0.73499999999999999</v>
      </c>
      <c r="D146" s="60">
        <v>0.46500000000000002</v>
      </c>
    </row>
    <row r="147" spans="1:4" x14ac:dyDescent="0.3">
      <c r="A147" s="75">
        <v>42460</v>
      </c>
      <c r="B147" s="61">
        <v>0.13900000000000001</v>
      </c>
      <c r="C147" s="61">
        <v>2.714</v>
      </c>
      <c r="D147" s="60">
        <v>4.42</v>
      </c>
    </row>
    <row r="148" spans="1:4" x14ac:dyDescent="0.3">
      <c r="A148" s="75">
        <v>42490</v>
      </c>
      <c r="B148" s="61">
        <v>-0.12</v>
      </c>
      <c r="C148" s="61">
        <v>1.36</v>
      </c>
      <c r="D148" s="60">
        <v>3.996</v>
      </c>
    </row>
    <row r="149" spans="1:4" x14ac:dyDescent="0.3">
      <c r="A149" s="75">
        <v>42521</v>
      </c>
      <c r="B149" s="61">
        <v>3.7999999999999999E-2</v>
      </c>
      <c r="C149" s="61">
        <v>-6.5000000000000002E-2</v>
      </c>
      <c r="D149" s="60">
        <v>0.72199999999999998</v>
      </c>
    </row>
    <row r="150" spans="1:4" x14ac:dyDescent="0.3">
      <c r="A150" s="75">
        <v>42551</v>
      </c>
      <c r="B150" s="61">
        <v>2.3250000000000002</v>
      </c>
      <c r="C150" s="61">
        <v>2.1800000000000002</v>
      </c>
      <c r="D150" s="60">
        <v>1.0840000000000001</v>
      </c>
    </row>
    <row r="151" spans="1:4" x14ac:dyDescent="0.3">
      <c r="A151" s="75">
        <v>42582</v>
      </c>
      <c r="B151" s="61">
        <v>0.42499999999999999</v>
      </c>
      <c r="C151" s="61">
        <v>1.45</v>
      </c>
      <c r="D151" s="60">
        <v>2.5259999999999998</v>
      </c>
    </row>
    <row r="152" spans="1:4" x14ac:dyDescent="0.3">
      <c r="A152" s="75">
        <v>42613</v>
      </c>
      <c r="B152" s="61">
        <v>-0.57299999999999995</v>
      </c>
      <c r="C152" s="61">
        <v>0.27400000000000002</v>
      </c>
      <c r="D152" s="60">
        <v>2.2269999999999999</v>
      </c>
    </row>
    <row r="153" spans="1:4" x14ac:dyDescent="0.3">
      <c r="A153" s="75">
        <v>42643</v>
      </c>
      <c r="B153" s="61">
        <v>-0.184</v>
      </c>
      <c r="C153" s="61">
        <v>-0.28799999999999998</v>
      </c>
      <c r="D153" s="60">
        <v>0.64700000000000002</v>
      </c>
    </row>
    <row r="154" spans="1:4" x14ac:dyDescent="0.3">
      <c r="A154" s="75">
        <v>42674</v>
      </c>
      <c r="B154" s="61">
        <v>-1.151</v>
      </c>
      <c r="C154" s="61">
        <v>-0.82799999999999996</v>
      </c>
      <c r="D154" s="60">
        <v>0.313</v>
      </c>
    </row>
    <row r="155" spans="1:4" x14ac:dyDescent="0.3">
      <c r="A155" s="75">
        <v>42704</v>
      </c>
      <c r="B155" s="61">
        <v>-2.7309999999999999</v>
      </c>
      <c r="C155" s="61">
        <v>-2.6789999999999998</v>
      </c>
      <c r="D155" s="60">
        <v>-0.39400000000000002</v>
      </c>
    </row>
    <row r="156" spans="1:4" x14ac:dyDescent="0.3">
      <c r="A156" s="75">
        <v>42735</v>
      </c>
      <c r="B156" s="61">
        <v>-0.115</v>
      </c>
      <c r="C156" s="61">
        <v>0.626</v>
      </c>
      <c r="D156" s="60">
        <v>1.9670000000000001</v>
      </c>
    </row>
    <row r="157" spans="1:4" x14ac:dyDescent="0.3">
      <c r="A157" s="75">
        <v>42766</v>
      </c>
      <c r="B157" s="61">
        <v>0.22600000000000001</v>
      </c>
      <c r="C157" s="61">
        <v>0.41</v>
      </c>
      <c r="D157" s="60">
        <v>1.343</v>
      </c>
    </row>
    <row r="158" spans="1:4" x14ac:dyDescent="0.3">
      <c r="A158" s="75">
        <v>42794</v>
      </c>
      <c r="B158" s="61">
        <v>0.51700000000000002</v>
      </c>
      <c r="C158" s="61">
        <v>1.131</v>
      </c>
      <c r="D158" s="60">
        <v>1.5609999999999999</v>
      </c>
    </row>
    <row r="159" spans="1:4" x14ac:dyDescent="0.3">
      <c r="A159" s="75">
        <v>42825</v>
      </c>
      <c r="B159" s="61">
        <v>-5.8999999999999997E-2</v>
      </c>
      <c r="C159" s="61">
        <v>-0.123</v>
      </c>
      <c r="D159" s="60">
        <v>-0.21</v>
      </c>
    </row>
    <row r="160" spans="1:4" x14ac:dyDescent="0.3">
      <c r="A160" s="75">
        <v>42855</v>
      </c>
      <c r="B160" s="61">
        <v>0.7</v>
      </c>
      <c r="C160" s="61">
        <v>0.998</v>
      </c>
      <c r="D160" s="60">
        <v>1.133</v>
      </c>
    </row>
    <row r="161" spans="1:4" x14ac:dyDescent="0.3">
      <c r="A161" s="75">
        <v>42886</v>
      </c>
      <c r="B161" s="61">
        <v>0.67</v>
      </c>
      <c r="C161" s="61">
        <v>1.1619999999999999</v>
      </c>
      <c r="D161" s="60">
        <v>0.89300000000000002</v>
      </c>
    </row>
    <row r="162" spans="1:4" x14ac:dyDescent="0.3">
      <c r="A162" s="75">
        <v>42916</v>
      </c>
      <c r="B162" s="61">
        <v>-0.15</v>
      </c>
      <c r="C162" s="61">
        <v>0.245</v>
      </c>
      <c r="D162" s="60">
        <v>0.106</v>
      </c>
    </row>
    <row r="163" spans="1:4" x14ac:dyDescent="0.3">
      <c r="A163" s="75">
        <v>42947</v>
      </c>
      <c r="B163" s="61">
        <v>0.152</v>
      </c>
      <c r="C163" s="61">
        <v>0.747</v>
      </c>
      <c r="D163" s="60">
        <v>1.153</v>
      </c>
    </row>
    <row r="164" spans="1:4" x14ac:dyDescent="0.3">
      <c r="A164" s="75">
        <v>42978</v>
      </c>
      <c r="B164" s="61">
        <v>1.131</v>
      </c>
      <c r="C164" s="61">
        <v>0.84699999999999998</v>
      </c>
      <c r="D164" s="60">
        <v>-2.5999999999999999E-2</v>
      </c>
    </row>
    <row r="165" spans="1:4" x14ac:dyDescent="0.3">
      <c r="A165" s="75">
        <v>43008</v>
      </c>
      <c r="B165" s="61">
        <v>-0.88</v>
      </c>
      <c r="C165" s="61">
        <v>-0.22800000000000001</v>
      </c>
      <c r="D165" s="60">
        <v>0.89800000000000002</v>
      </c>
    </row>
    <row r="166" spans="1:4" x14ac:dyDescent="0.3">
      <c r="A166" s="75">
        <v>43039</v>
      </c>
      <c r="B166" s="61">
        <v>-0.11</v>
      </c>
      <c r="C166" s="61">
        <v>0.40400000000000003</v>
      </c>
      <c r="D166" s="60">
        <v>0.38600000000000001</v>
      </c>
    </row>
    <row r="167" spans="1:4" x14ac:dyDescent="0.3">
      <c r="A167" s="75">
        <v>43069</v>
      </c>
      <c r="B167" s="61">
        <v>-0.121</v>
      </c>
      <c r="C167" s="61">
        <v>-0.14000000000000001</v>
      </c>
      <c r="D167" s="60">
        <v>-0.26800000000000002</v>
      </c>
    </row>
    <row r="168" spans="1:4" x14ac:dyDescent="0.3">
      <c r="A168" s="75">
        <v>43100</v>
      </c>
      <c r="B168" s="61">
        <v>0.34599999999999997</v>
      </c>
      <c r="C168" s="61">
        <v>0.85299999999999998</v>
      </c>
      <c r="D168" s="60">
        <v>0.29099999999999998</v>
      </c>
    </row>
    <row r="169" spans="1:4" x14ac:dyDescent="0.3">
      <c r="A169" s="75">
        <v>43131</v>
      </c>
      <c r="B169" s="61">
        <v>-1.3959999999999999</v>
      </c>
      <c r="C169" s="61">
        <v>-0.92400000000000004</v>
      </c>
      <c r="D169" s="60">
        <v>0.64100000000000001</v>
      </c>
    </row>
    <row r="170" spans="1:4" x14ac:dyDescent="0.3">
      <c r="A170" s="75">
        <v>43159</v>
      </c>
      <c r="B170" s="61">
        <v>-0.78800000000000003</v>
      </c>
      <c r="C170" s="61">
        <v>-1.496</v>
      </c>
      <c r="D170" s="60">
        <v>-0.93200000000000005</v>
      </c>
    </row>
    <row r="171" spans="1:4" x14ac:dyDescent="0.3">
      <c r="A171" s="75">
        <v>43190</v>
      </c>
      <c r="B171" s="61">
        <v>0.98799999999999999</v>
      </c>
      <c r="C171" s="61">
        <v>0.215</v>
      </c>
      <c r="D171" s="60">
        <v>-0.61699999999999999</v>
      </c>
    </row>
    <row r="172" spans="1:4" x14ac:dyDescent="0.3">
      <c r="A172" s="75">
        <v>43220</v>
      </c>
      <c r="B172" s="61">
        <v>-0.82299999999999995</v>
      </c>
      <c r="C172" s="61">
        <v>-0.85199999999999998</v>
      </c>
      <c r="D172" s="60">
        <v>0.66500000000000004</v>
      </c>
    </row>
    <row r="173" spans="1:4" x14ac:dyDescent="0.3">
      <c r="A173" s="75">
        <v>43251</v>
      </c>
      <c r="B173" s="61">
        <v>0.90800000000000003</v>
      </c>
      <c r="C173" s="61">
        <v>0.45</v>
      </c>
      <c r="D173" s="60">
        <v>-1.4999999999999999E-2</v>
      </c>
    </row>
    <row r="174" spans="1:4" x14ac:dyDescent="0.3">
      <c r="A174" s="75">
        <v>43281</v>
      </c>
      <c r="B174" s="61">
        <v>2.9000000000000001E-2</v>
      </c>
      <c r="C174" s="61">
        <v>-0.54</v>
      </c>
      <c r="D174" s="60">
        <v>0.34499999999999997</v>
      </c>
    </row>
    <row r="175" spans="1:4" x14ac:dyDescent="0.3">
      <c r="A175" s="75">
        <v>43312</v>
      </c>
      <c r="B175" s="61">
        <v>-0.45300000000000001</v>
      </c>
      <c r="C175" s="61">
        <v>0.74099999999999999</v>
      </c>
      <c r="D175" s="60">
        <v>1.117</v>
      </c>
    </row>
    <row r="176" spans="1:4" x14ac:dyDescent="0.3">
      <c r="A176" s="75">
        <v>43343</v>
      </c>
      <c r="B176" s="61">
        <v>0.78100000000000003</v>
      </c>
      <c r="C176" s="61">
        <v>0.54400000000000004</v>
      </c>
      <c r="D176" s="60">
        <v>0.72399999999999998</v>
      </c>
    </row>
    <row r="177" spans="1:4" x14ac:dyDescent="0.3">
      <c r="A177" s="75">
        <v>43373</v>
      </c>
      <c r="B177" s="61">
        <v>-0.97799999999999998</v>
      </c>
      <c r="C177" s="61">
        <v>-0.32500000000000001</v>
      </c>
      <c r="D177" s="60">
        <v>0.58099999999999996</v>
      </c>
    </row>
    <row r="178" spans="1:4" x14ac:dyDescent="0.3">
      <c r="A178" s="75">
        <v>43404</v>
      </c>
      <c r="B178" s="61">
        <v>-0.52700000000000002</v>
      </c>
      <c r="C178" s="61">
        <v>-1.351</v>
      </c>
      <c r="D178" s="60">
        <v>-1.6379999999999999</v>
      </c>
    </row>
    <row r="179" spans="1:4" x14ac:dyDescent="0.3">
      <c r="A179" s="75">
        <v>43434</v>
      </c>
      <c r="B179" s="61">
        <v>0.9</v>
      </c>
      <c r="C179" s="61">
        <v>-0.191</v>
      </c>
      <c r="D179" s="60">
        <v>-0.90700000000000003</v>
      </c>
    </row>
    <row r="180" spans="1:4" x14ac:dyDescent="0.3">
      <c r="A180" s="75">
        <v>43465</v>
      </c>
      <c r="B180" s="61">
        <v>2.2200000000000002</v>
      </c>
      <c r="C180" s="61">
        <v>1.5009999999999999</v>
      </c>
      <c r="D180" s="60">
        <v>-2.1920000000000002</v>
      </c>
    </row>
    <row r="181" spans="1:4" x14ac:dyDescent="0.3">
      <c r="A181" s="75">
        <v>43496</v>
      </c>
      <c r="B181" s="61">
        <v>0.46700000000000003</v>
      </c>
      <c r="C181" s="61">
        <v>2.093</v>
      </c>
      <c r="D181" s="60">
        <v>4.593</v>
      </c>
    </row>
    <row r="182" spans="1:4" x14ac:dyDescent="0.3">
      <c r="A182" s="75">
        <v>43524</v>
      </c>
      <c r="B182" s="61">
        <v>-0.27800000000000002</v>
      </c>
      <c r="C182" s="61">
        <v>0.36</v>
      </c>
      <c r="D182" s="60">
        <v>1.6879999999999999</v>
      </c>
    </row>
    <row r="183" spans="1:4" x14ac:dyDescent="0.3">
      <c r="A183" s="75">
        <v>43555</v>
      </c>
      <c r="B183" s="61">
        <v>1.9870000000000001</v>
      </c>
      <c r="C183" s="61">
        <v>2.4900000000000002</v>
      </c>
      <c r="D183" s="60">
        <v>0.98</v>
      </c>
    </row>
    <row r="184" spans="1:4" x14ac:dyDescent="0.3">
      <c r="A184" s="75">
        <v>43585</v>
      </c>
      <c r="B184" s="61">
        <v>-0.32400000000000001</v>
      </c>
      <c r="C184" s="61">
        <v>0.55700000000000005</v>
      </c>
      <c r="D184" s="60">
        <v>1.399</v>
      </c>
    </row>
    <row r="185" spans="1:4" x14ac:dyDescent="0.3">
      <c r="A185" s="75">
        <v>43616</v>
      </c>
      <c r="B185" s="61">
        <v>2.4430000000000001</v>
      </c>
      <c r="C185" s="61">
        <v>1.4350000000000001</v>
      </c>
      <c r="D185" s="60">
        <v>-1.2709999999999999</v>
      </c>
    </row>
    <row r="186" spans="1:4" x14ac:dyDescent="0.3">
      <c r="A186" s="75">
        <v>43646</v>
      </c>
      <c r="B186" s="61">
        <v>0.92800000000000005</v>
      </c>
      <c r="C186" s="61">
        <v>2.2999999999999998</v>
      </c>
      <c r="D186" s="60">
        <v>2.452</v>
      </c>
    </row>
    <row r="187" spans="1:4" x14ac:dyDescent="0.3">
      <c r="A187" s="75">
        <v>43677</v>
      </c>
      <c r="B187" s="61">
        <v>-0.105</v>
      </c>
      <c r="C187" s="61">
        <v>0.65500000000000003</v>
      </c>
      <c r="D187" s="60">
        <v>0.51200000000000001</v>
      </c>
    </row>
    <row r="188" spans="1:4" x14ac:dyDescent="0.3">
      <c r="A188" s="75">
        <v>43708</v>
      </c>
      <c r="B188" s="61">
        <v>3.5529999999999999</v>
      </c>
      <c r="C188" s="61">
        <v>3.036</v>
      </c>
      <c r="D188" s="60">
        <v>0.39</v>
      </c>
    </row>
    <row r="189" spans="1:4" x14ac:dyDescent="0.3">
      <c r="A189" s="75">
        <v>43738</v>
      </c>
      <c r="B189" s="61">
        <v>-0.90300000000000002</v>
      </c>
      <c r="C189" s="61">
        <v>-0.61899999999999999</v>
      </c>
      <c r="D189" s="60">
        <v>0.317</v>
      </c>
    </row>
    <row r="190" spans="1:4" x14ac:dyDescent="0.3">
      <c r="A190" s="75">
        <v>43769</v>
      </c>
      <c r="B190" s="61">
        <v>3.1E-2</v>
      </c>
      <c r="C190" s="61">
        <v>0.61199999999999999</v>
      </c>
      <c r="D190" s="60">
        <v>0.23200000000000001</v>
      </c>
    </row>
    <row r="191" spans="1:4" x14ac:dyDescent="0.3">
      <c r="A191" s="75">
        <v>43799</v>
      </c>
      <c r="B191" s="61">
        <v>-0.308</v>
      </c>
      <c r="C191" s="61">
        <v>0.217</v>
      </c>
      <c r="D191" s="60">
        <v>0.27300000000000002</v>
      </c>
    </row>
    <row r="192" spans="1:4" x14ac:dyDescent="0.3">
      <c r="A192" s="75">
        <v>43830</v>
      </c>
      <c r="B192" s="61">
        <v>-0.61599999999999999</v>
      </c>
      <c r="C192" s="61">
        <v>0.315</v>
      </c>
      <c r="D192" s="60">
        <v>2.09</v>
      </c>
    </row>
    <row r="193" spans="1:4" x14ac:dyDescent="0.3">
      <c r="A193" s="75">
        <v>43861</v>
      </c>
      <c r="B193" s="61">
        <v>2.5640000000000001</v>
      </c>
      <c r="C193" s="61">
        <v>2.3759999999999999</v>
      </c>
      <c r="D193" s="60">
        <v>4.0000000000000001E-3</v>
      </c>
    </row>
    <row r="194" spans="1:4" x14ac:dyDescent="0.3">
      <c r="A194" s="75">
        <v>43890</v>
      </c>
      <c r="B194" s="61">
        <v>2.7280000000000002</v>
      </c>
      <c r="C194" s="61">
        <v>1.29</v>
      </c>
      <c r="D194" s="60">
        <v>-1.55</v>
      </c>
    </row>
    <row r="195" spans="1:4" x14ac:dyDescent="0.3">
      <c r="A195" s="75">
        <v>43921</v>
      </c>
      <c r="B195" s="61">
        <v>3.2639999999999998</v>
      </c>
      <c r="C195" s="61">
        <v>-7.4740000000000002</v>
      </c>
      <c r="D195" s="60">
        <v>-11.759</v>
      </c>
    </row>
    <row r="196" spans="1:4" x14ac:dyDescent="0.3">
      <c r="A196" s="75">
        <v>43951</v>
      </c>
      <c r="B196" s="61">
        <v>0.40500000000000003</v>
      </c>
      <c r="C196" s="61">
        <v>5.2720000000000002</v>
      </c>
      <c r="D196" s="60">
        <v>3.8</v>
      </c>
    </row>
    <row r="197" spans="1:4" x14ac:dyDescent="0.3">
      <c r="A197" s="75">
        <v>43982</v>
      </c>
      <c r="B197" s="61">
        <v>-0.308</v>
      </c>
      <c r="C197" s="61">
        <v>1.748</v>
      </c>
      <c r="D197" s="60">
        <v>4.5739999999999998</v>
      </c>
    </row>
    <row r="198" spans="1:4" x14ac:dyDescent="0.3">
      <c r="A198" s="75">
        <v>44012</v>
      </c>
      <c r="B198" s="61">
        <v>0.109</v>
      </c>
      <c r="C198" s="61">
        <v>2.0150000000000001</v>
      </c>
      <c r="D198" s="60">
        <v>0.97499999999999998</v>
      </c>
    </row>
    <row r="199" spans="1:4" x14ac:dyDescent="0.3">
      <c r="A199" s="75">
        <v>44043</v>
      </c>
      <c r="B199" s="61">
        <v>1.212</v>
      </c>
      <c r="C199" s="61">
        <v>3.1509999999999998</v>
      </c>
      <c r="D199" s="60">
        <v>4.7779999999999996</v>
      </c>
    </row>
    <row r="200" spans="1:4" x14ac:dyDescent="0.3">
      <c r="A200" s="75">
        <v>44074</v>
      </c>
      <c r="B200" s="61">
        <v>-1.202</v>
      </c>
      <c r="C200" s="61">
        <v>-1.1539999999999999</v>
      </c>
      <c r="D200" s="60">
        <v>0.98399999999999999</v>
      </c>
    </row>
    <row r="201" spans="1:4" x14ac:dyDescent="0.3">
      <c r="A201" s="75">
        <v>44104</v>
      </c>
      <c r="B201" s="61">
        <v>0.185</v>
      </c>
      <c r="C201" s="61">
        <v>-0.26400000000000001</v>
      </c>
      <c r="D201" s="60">
        <v>-1.0429999999999999</v>
      </c>
    </row>
    <row r="202" spans="1:4" x14ac:dyDescent="0.3">
      <c r="A202" s="75">
        <v>44135</v>
      </c>
      <c r="B202" s="61">
        <v>-1.01</v>
      </c>
      <c r="C202" s="61">
        <v>-0.17199999999999999</v>
      </c>
      <c r="D202" s="60">
        <v>0.46800000000000003</v>
      </c>
    </row>
    <row r="203" spans="1:4" x14ac:dyDescent="0.3">
      <c r="A203" s="75">
        <v>44165</v>
      </c>
      <c r="B203" s="61">
        <v>0.38100000000000001</v>
      </c>
      <c r="C203" s="61">
        <v>2.6659999999999999</v>
      </c>
      <c r="D203" s="60">
        <v>4.0030000000000001</v>
      </c>
    </row>
    <row r="204" spans="1:4" x14ac:dyDescent="0.3">
      <c r="A204" s="75">
        <v>44196</v>
      </c>
      <c r="B204" s="61">
        <v>-0.28299999999999997</v>
      </c>
      <c r="C204" s="61">
        <v>0.49099999999999999</v>
      </c>
      <c r="D204" s="60">
        <v>1.907</v>
      </c>
    </row>
    <row r="205" spans="1:4" x14ac:dyDescent="0.3">
      <c r="A205" s="75">
        <v>44227</v>
      </c>
      <c r="B205" s="61">
        <v>-1.123</v>
      </c>
      <c r="C205" s="61">
        <v>-1.22</v>
      </c>
      <c r="D205" s="60">
        <v>0.38300000000000001</v>
      </c>
    </row>
    <row r="206" spans="1:4" x14ac:dyDescent="0.3">
      <c r="A206" s="75">
        <v>44255</v>
      </c>
      <c r="B206" s="61">
        <v>-2.286</v>
      </c>
      <c r="C206" s="61">
        <v>-1.9550000000000001</v>
      </c>
      <c r="D206" s="60">
        <v>0.34799999999999998</v>
      </c>
    </row>
    <row r="207" spans="1:4" x14ac:dyDescent="0.3">
      <c r="A207" s="75">
        <v>44286</v>
      </c>
      <c r="B207" s="61">
        <v>-1.2649999999999999</v>
      </c>
      <c r="C207" s="61">
        <v>-1.387</v>
      </c>
      <c r="D207" s="60">
        <v>0.17</v>
      </c>
    </row>
    <row r="208" spans="1:4" x14ac:dyDescent="0.3">
      <c r="A208" s="75">
        <v>44316</v>
      </c>
      <c r="B208" s="61">
        <v>0.84</v>
      </c>
      <c r="C208" s="61">
        <v>1.19</v>
      </c>
      <c r="D208" s="60">
        <v>1.097</v>
      </c>
    </row>
    <row r="209" spans="1:4" x14ac:dyDescent="0.3">
      <c r="A209" s="75">
        <v>44347</v>
      </c>
      <c r="B209" s="61">
        <v>0.29799999999999999</v>
      </c>
      <c r="C209" s="61">
        <v>0.70199999999999996</v>
      </c>
      <c r="D209" s="60">
        <v>0.28899999999999998</v>
      </c>
    </row>
    <row r="210" spans="1:4" x14ac:dyDescent="0.3">
      <c r="A210" s="75">
        <v>44377</v>
      </c>
      <c r="B210" s="61">
        <v>0.86899999999999999</v>
      </c>
      <c r="C210" s="61">
        <v>1.665</v>
      </c>
      <c r="D210" s="60">
        <v>1.3660000000000001</v>
      </c>
    </row>
    <row r="211" spans="1:4" x14ac:dyDescent="0.3">
      <c r="A211" s="75">
        <v>44408</v>
      </c>
      <c r="B211" s="61">
        <v>1.34</v>
      </c>
      <c r="C211" s="61">
        <v>1.21</v>
      </c>
      <c r="D211" s="60">
        <v>0.35599999999999998</v>
      </c>
    </row>
    <row r="212" spans="1:4" x14ac:dyDescent="0.3">
      <c r="A212" s="75">
        <v>44439</v>
      </c>
      <c r="B212" s="61">
        <v>-0.156</v>
      </c>
      <c r="C212" s="61">
        <v>-0.19800000000000001</v>
      </c>
      <c r="D212" s="60">
        <v>0.54500000000000004</v>
      </c>
    </row>
    <row r="213" spans="1:4" x14ac:dyDescent="0.3">
      <c r="A213" s="75">
        <v>44469</v>
      </c>
      <c r="B213" s="61">
        <v>-1.2010000000000001</v>
      </c>
      <c r="C213" s="61">
        <v>-1.0569999999999999</v>
      </c>
      <c r="D213" s="60">
        <v>3.4000000000000002E-2</v>
      </c>
    </row>
    <row r="214" spans="1:4" x14ac:dyDescent="0.3">
      <c r="A214" s="75">
        <v>44500</v>
      </c>
      <c r="B214" s="61">
        <v>3.1E-2</v>
      </c>
      <c r="C214" s="61">
        <v>0.25</v>
      </c>
      <c r="D214" s="60">
        <v>-0.17799999999999999</v>
      </c>
    </row>
    <row r="215" spans="1:4" x14ac:dyDescent="0.3">
      <c r="A215" s="75">
        <v>44530</v>
      </c>
      <c r="B215" s="61">
        <v>0.89100000000000001</v>
      </c>
      <c r="C215" s="61">
        <v>9.1999999999999998E-2</v>
      </c>
      <c r="D215" s="60">
        <v>-1.0249999999999999</v>
      </c>
    </row>
    <row r="216" spans="1:4" x14ac:dyDescent="0.3">
      <c r="A216" s="75">
        <v>44561</v>
      </c>
      <c r="B216" s="61">
        <v>-0.56999999999999995</v>
      </c>
      <c r="C216" s="61">
        <v>-0.17100000000000001</v>
      </c>
      <c r="D216" s="60">
        <v>1.881</v>
      </c>
    </row>
    <row r="217" spans="1:4" x14ac:dyDescent="0.3">
      <c r="A217" s="75">
        <v>44592</v>
      </c>
      <c r="B217" s="61">
        <v>-1.8859999999999999</v>
      </c>
      <c r="C217" s="61">
        <v>-3.125</v>
      </c>
      <c r="D217" s="60">
        <v>-2.7490000000000001</v>
      </c>
    </row>
    <row r="218" spans="1:4" x14ac:dyDescent="0.3">
      <c r="A218" s="75">
        <v>44620</v>
      </c>
      <c r="B218" s="61">
        <v>-0.75900000000000001</v>
      </c>
      <c r="C218" s="61">
        <v>-2.181</v>
      </c>
      <c r="D218" s="60">
        <v>-0.89800000000000002</v>
      </c>
    </row>
    <row r="219" spans="1:4" x14ac:dyDescent="0.3">
      <c r="A219" s="75">
        <v>44651</v>
      </c>
      <c r="B219" s="61">
        <v>-3.0049999999999999</v>
      </c>
      <c r="C219" s="61">
        <v>-2.6389999999999998</v>
      </c>
      <c r="D219" s="60">
        <v>-0.92500000000000004</v>
      </c>
    </row>
    <row r="220" spans="1:4" x14ac:dyDescent="0.3">
      <c r="A220" s="75">
        <v>44681</v>
      </c>
      <c r="B220" s="61">
        <v>-3.2080000000000002</v>
      </c>
      <c r="C220" s="61">
        <v>-4.9720000000000004</v>
      </c>
      <c r="D220" s="60">
        <v>-3.6379999999999999</v>
      </c>
    </row>
    <row r="221" spans="1:4" x14ac:dyDescent="0.3">
      <c r="A221" s="75">
        <v>44712</v>
      </c>
      <c r="B221" s="61">
        <v>6.2E-2</v>
      </c>
      <c r="C221" s="61">
        <v>0.53500000000000003</v>
      </c>
      <c r="D221" s="60">
        <v>0.25</v>
      </c>
    </row>
    <row r="222" spans="1:4" x14ac:dyDescent="0.3">
      <c r="A222" s="75">
        <v>44742</v>
      </c>
      <c r="B222" s="61">
        <v>-0.72399999999999998</v>
      </c>
      <c r="C222" s="61">
        <v>-2.35</v>
      </c>
      <c r="D222" s="60">
        <v>-6.8070000000000004</v>
      </c>
    </row>
    <row r="223" spans="1:4" x14ac:dyDescent="0.3">
      <c r="A223" s="75">
        <v>44773</v>
      </c>
      <c r="B223" s="61">
        <v>1.659</v>
      </c>
      <c r="C223" s="61">
        <v>2.9489999999999998</v>
      </c>
      <c r="D223" s="60">
        <v>6.0229999999999997</v>
      </c>
    </row>
    <row r="224" spans="1:4" x14ac:dyDescent="0.3">
      <c r="A224" s="75">
        <v>44804</v>
      </c>
      <c r="B224" s="61">
        <v>-2.617</v>
      </c>
      <c r="C224" s="61">
        <v>-2.661</v>
      </c>
      <c r="D224" s="60">
        <v>-2.395</v>
      </c>
    </row>
    <row r="225" spans="1:4" x14ac:dyDescent="0.3">
      <c r="A225" s="75">
        <v>44834</v>
      </c>
      <c r="B225" s="61">
        <v>-3.7509999999999999</v>
      </c>
      <c r="C225" s="61">
        <v>-5.3079999999999998</v>
      </c>
      <c r="D225" s="60">
        <v>-4.0220000000000002</v>
      </c>
    </row>
    <row r="226" spans="1:4" x14ac:dyDescent="0.3">
      <c r="A226" s="75">
        <v>44865</v>
      </c>
      <c r="B226" s="61">
        <v>-1.522</v>
      </c>
      <c r="C226" s="61">
        <v>-1.115</v>
      </c>
      <c r="D226" s="60">
        <v>2.847</v>
      </c>
    </row>
    <row r="227" spans="1:4" x14ac:dyDescent="0.3">
      <c r="A227" s="75">
        <v>44895</v>
      </c>
      <c r="B227" s="61">
        <v>2.8130000000000002</v>
      </c>
      <c r="C227" s="61">
        <v>4.9180000000000001</v>
      </c>
      <c r="D227" s="60">
        <v>1.8720000000000001</v>
      </c>
    </row>
    <row r="228" spans="1:4" x14ac:dyDescent="0.3">
      <c r="A228" s="75">
        <v>44926</v>
      </c>
      <c r="B228" s="61">
        <v>-0.52400000000000002</v>
      </c>
      <c r="C228" s="61">
        <v>-0.21199999999999999</v>
      </c>
      <c r="D228" s="60">
        <v>-0.753</v>
      </c>
    </row>
    <row r="229" spans="1:4" x14ac:dyDescent="0.3">
      <c r="A229" s="75">
        <v>44957</v>
      </c>
      <c r="B229" s="61">
        <v>2.5939999999999999</v>
      </c>
      <c r="C229" s="61">
        <v>3.8889999999999998</v>
      </c>
      <c r="D229" s="60">
        <v>3.91</v>
      </c>
    </row>
    <row r="230" spans="1:4" x14ac:dyDescent="0.3">
      <c r="A230" s="75">
        <v>44985</v>
      </c>
      <c r="B230" s="61">
        <v>-2.4089999999999998</v>
      </c>
      <c r="C230" s="61">
        <v>-2.9129999999999998</v>
      </c>
      <c r="D230" s="60">
        <v>-1.294</v>
      </c>
    </row>
    <row r="231" spans="1:4" x14ac:dyDescent="0.3">
      <c r="A231" s="75">
        <v>45016</v>
      </c>
      <c r="B231" s="61">
        <v>2.9580000000000002</v>
      </c>
      <c r="C231" s="61">
        <v>2.5630000000000002</v>
      </c>
      <c r="D231" s="60">
        <v>1.1259999999999999</v>
      </c>
    </row>
    <row r="232" spans="1:4" x14ac:dyDescent="0.3">
      <c r="A232" s="75">
        <v>45046</v>
      </c>
      <c r="B232" s="61">
        <v>0.54700000000000004</v>
      </c>
      <c r="C232" s="61">
        <v>0.84799999999999998</v>
      </c>
      <c r="D232" s="60">
        <v>0.96499999999999997</v>
      </c>
    </row>
    <row r="233" spans="1:4" x14ac:dyDescent="0.3">
      <c r="A233" s="75">
        <v>45077</v>
      </c>
      <c r="B233" s="61">
        <v>-1.228</v>
      </c>
      <c r="C233" s="61">
        <v>-1.3280000000000001</v>
      </c>
      <c r="D233" s="60">
        <v>-0.94899999999999995</v>
      </c>
    </row>
    <row r="234" spans="1:4" x14ac:dyDescent="0.3">
      <c r="A234" s="75">
        <v>45107</v>
      </c>
      <c r="B234" s="61">
        <v>-0.72499999999999998</v>
      </c>
      <c r="C234" s="61">
        <v>0.28399999999999997</v>
      </c>
      <c r="D234" s="60">
        <v>1.6279999999999999</v>
      </c>
    </row>
    <row r="235" spans="1:4" x14ac:dyDescent="0.3">
      <c r="A235" s="75">
        <v>45138</v>
      </c>
      <c r="B235" s="61">
        <v>-0.39600000000000002</v>
      </c>
      <c r="C235" s="61">
        <v>0.433</v>
      </c>
      <c r="D235" s="60">
        <v>1.4239999999999999</v>
      </c>
    </row>
    <row r="236" spans="1:4" x14ac:dyDescent="0.3">
      <c r="A236" s="75">
        <v>45169</v>
      </c>
      <c r="B236" s="61">
        <v>-0.58199999999999996</v>
      </c>
      <c r="C236" s="61">
        <v>-0.68300000000000005</v>
      </c>
      <c r="D236" s="60">
        <v>0.28499999999999998</v>
      </c>
    </row>
    <row r="237" spans="1:4" x14ac:dyDescent="0.3">
      <c r="A237" s="75">
        <v>45199</v>
      </c>
      <c r="B237" s="61">
        <v>-2.3809999999999998</v>
      </c>
      <c r="C237" s="61">
        <v>-2.4500000000000002</v>
      </c>
      <c r="D237" s="60">
        <v>-1.163</v>
      </c>
    </row>
    <row r="238" spans="1:4" x14ac:dyDescent="0.3">
      <c r="A238" s="75">
        <v>45230</v>
      </c>
      <c r="B238" s="61">
        <v>-1.3220000000000001</v>
      </c>
      <c r="C238" s="61">
        <v>-1.82</v>
      </c>
      <c r="D238" s="60">
        <v>-1.238</v>
      </c>
    </row>
    <row r="239" spans="1:4" x14ac:dyDescent="0.3">
      <c r="A239" s="75">
        <v>45260</v>
      </c>
      <c r="B239" s="61">
        <v>3.6059999999999999</v>
      </c>
      <c r="C239" s="61">
        <v>5.641</v>
      </c>
      <c r="D239" s="60">
        <v>4.548</v>
      </c>
    </row>
    <row r="240" spans="1:4" x14ac:dyDescent="0.3">
      <c r="A240" s="75">
        <v>45291</v>
      </c>
      <c r="B240" s="61">
        <v>3.411</v>
      </c>
      <c r="C240" s="61">
        <v>4.0439999999999996</v>
      </c>
      <c r="D240" s="60">
        <v>3.6880000000000002</v>
      </c>
    </row>
    <row r="241" spans="1:4" x14ac:dyDescent="0.3">
      <c r="A241" s="75">
        <v>45322</v>
      </c>
      <c r="B241" s="61">
        <v>-0.17599999999999999</v>
      </c>
      <c r="C241" s="61">
        <v>0.14799999999999999</v>
      </c>
      <c r="D241" s="60">
        <v>1.9E-2</v>
      </c>
    </row>
    <row r="242" spans="1:4" x14ac:dyDescent="0.3">
      <c r="A242" s="75">
        <v>45351</v>
      </c>
      <c r="B242" s="61">
        <v>-1.355</v>
      </c>
      <c r="C242" s="61">
        <v>-1.397</v>
      </c>
      <c r="D242" s="60">
        <v>0.29599999999999999</v>
      </c>
    </row>
    <row r="243" spans="1:4" x14ac:dyDescent="0.3">
      <c r="A243" s="75">
        <v>45382</v>
      </c>
      <c r="B243" s="61">
        <v>0.59899999999999998</v>
      </c>
      <c r="C243" s="61">
        <v>1.1859999999999999</v>
      </c>
      <c r="D243" s="60">
        <v>1.1910000000000001</v>
      </c>
    </row>
    <row r="244" spans="1:4" x14ac:dyDescent="0.3">
      <c r="A244" s="75">
        <v>45412</v>
      </c>
      <c r="B244" s="61">
        <v>-2.363</v>
      </c>
      <c r="C244" s="61">
        <v>-2.3279999999999998</v>
      </c>
      <c r="D244" s="60">
        <v>-1</v>
      </c>
    </row>
    <row r="245" spans="1:4" x14ac:dyDescent="0.3">
      <c r="A245" s="75">
        <v>45443</v>
      </c>
      <c r="B245" s="61">
        <v>1.4950000000000001</v>
      </c>
      <c r="C245" s="61">
        <v>1.853</v>
      </c>
      <c r="D245" s="60">
        <v>1.135</v>
      </c>
    </row>
    <row r="246" spans="1:4" x14ac:dyDescent="0.3">
      <c r="A246" s="75">
        <v>45473</v>
      </c>
      <c r="B246" s="61">
        <v>1.0309999999999999</v>
      </c>
      <c r="C246" s="61">
        <v>0.63800000000000001</v>
      </c>
      <c r="D246" s="60">
        <v>0.96499999999999997</v>
      </c>
    </row>
    <row r="247" spans="1:4" x14ac:dyDescent="0.3">
      <c r="A247" s="75">
        <v>45504</v>
      </c>
      <c r="B247" s="61">
        <v>2.2349999999999999</v>
      </c>
      <c r="C247" s="61">
        <v>2.363</v>
      </c>
      <c r="D247" s="60">
        <v>1.962</v>
      </c>
    </row>
    <row r="248" spans="1:4" x14ac:dyDescent="0.3">
      <c r="A248" s="75">
        <v>45535</v>
      </c>
      <c r="B248" s="61">
        <v>1.3089999999999999</v>
      </c>
      <c r="C248" s="61">
        <v>1.532</v>
      </c>
      <c r="D248" s="60">
        <v>1.591</v>
      </c>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AAC24-CFD7-4860-8784-4FED160FA84C}">
  <sheetPr codeName="Sheet14"/>
  <dimension ref="A1:Z249"/>
  <sheetViews>
    <sheetView zoomScale="85" zoomScaleNormal="85" workbookViewId="0">
      <selection activeCell="E35" sqref="E35"/>
    </sheetView>
  </sheetViews>
  <sheetFormatPr defaultColWidth="9.109375" defaultRowHeight="14.4" x14ac:dyDescent="0.3"/>
  <cols>
    <col min="1" max="1" width="12.109375" style="28" customWidth="1"/>
    <col min="2" max="3" width="11.5546875" style="28" customWidth="1"/>
    <col min="4" max="4" width="12.109375" style="28" customWidth="1"/>
    <col min="5" max="6" width="11.88671875" style="28" customWidth="1"/>
    <col min="7" max="7" width="10.33203125" style="28" customWidth="1"/>
    <col min="8" max="8" width="3" style="28" customWidth="1"/>
    <col min="9" max="9" width="9.109375" style="28"/>
    <col min="10" max="10" width="13.109375" style="28" bestFit="1" customWidth="1"/>
    <col min="11" max="13" width="9.109375" style="28"/>
    <col min="14" max="14" width="8.88671875" style="28" customWidth="1"/>
    <col min="15" max="16384" width="9.109375" style="28"/>
  </cols>
  <sheetData>
    <row r="1" spans="1:26" s="37" customFormat="1" ht="25.8" x14ac:dyDescent="0.5">
      <c r="A1" s="37" t="s">
        <v>52</v>
      </c>
    </row>
    <row r="2" spans="1:26" s="1" customFormat="1" x14ac:dyDescent="0.3"/>
    <row r="3" spans="1:26" s="1" customFormat="1" x14ac:dyDescent="0.3">
      <c r="A3" s="27" t="s">
        <v>33</v>
      </c>
      <c r="B3" s="27"/>
      <c r="C3" s="27"/>
      <c r="D3" s="30"/>
      <c r="E3" s="30"/>
      <c r="F3" s="30"/>
      <c r="O3" s="57">
        <v>0</v>
      </c>
      <c r="P3" s="1">
        <v>0</v>
      </c>
    </row>
    <row r="4" spans="1:26" s="1" customFormat="1" x14ac:dyDescent="0.3">
      <c r="A4" s="25" t="s">
        <v>19</v>
      </c>
      <c r="B4" s="25" t="s">
        <v>21</v>
      </c>
      <c r="C4" s="25"/>
      <c r="D4" s="30"/>
      <c r="E4" s="30"/>
      <c r="F4" s="30"/>
    </row>
    <row r="5" spans="1:26" x14ac:dyDescent="0.3">
      <c r="A5" s="26" t="s">
        <v>20</v>
      </c>
      <c r="B5" s="26" t="s">
        <v>22</v>
      </c>
      <c r="C5" s="25"/>
      <c r="D5" s="30"/>
      <c r="E5" s="30"/>
      <c r="F5" s="30"/>
      <c r="G5" s="34"/>
    </row>
    <row r="6" spans="1:26" x14ac:dyDescent="0.3">
      <c r="A6" s="29"/>
      <c r="B6" s="29"/>
      <c r="D6" s="30"/>
      <c r="E6" s="30"/>
      <c r="F6" s="30"/>
      <c r="X6" s="30"/>
      <c r="Y6" s="30"/>
      <c r="Z6" s="47"/>
    </row>
    <row r="7" spans="1:26" x14ac:dyDescent="0.3">
      <c r="A7" s="49"/>
      <c r="B7" s="80" t="s">
        <v>32</v>
      </c>
      <c r="C7" s="80"/>
      <c r="D7" s="81" t="s">
        <v>40</v>
      </c>
      <c r="E7" s="81"/>
      <c r="F7" s="81"/>
      <c r="G7" s="81"/>
      <c r="J7" s="32"/>
      <c r="K7" s="33" t="s">
        <v>24</v>
      </c>
      <c r="X7" s="30"/>
      <c r="Y7" s="30"/>
      <c r="Z7" s="47"/>
    </row>
    <row r="8" spans="1:26" x14ac:dyDescent="0.3">
      <c r="A8" s="76"/>
      <c r="B8" s="77" t="s">
        <v>19</v>
      </c>
      <c r="C8" s="77" t="s">
        <v>20</v>
      </c>
      <c r="D8" s="33" t="s">
        <v>41</v>
      </c>
      <c r="E8" s="33" t="s">
        <v>42</v>
      </c>
      <c r="F8" s="33" t="s">
        <v>46</v>
      </c>
      <c r="G8" s="33" t="s">
        <v>28</v>
      </c>
      <c r="J8" s="32" t="s">
        <v>25</v>
      </c>
      <c r="K8" s="64">
        <v>5</v>
      </c>
    </row>
    <row r="9" spans="1:26" x14ac:dyDescent="0.3">
      <c r="A9" s="78">
        <v>38230</v>
      </c>
      <c r="B9" s="79">
        <v>982.79600000000005</v>
      </c>
      <c r="C9" s="79">
        <v>569.74599999999998</v>
      </c>
      <c r="D9" s="50" t="s">
        <v>31</v>
      </c>
      <c r="E9" s="50" t="s">
        <v>31</v>
      </c>
      <c r="F9" s="50" t="s">
        <v>31</v>
      </c>
      <c r="G9" s="50" t="s">
        <v>31</v>
      </c>
      <c r="J9" s="32" t="s">
        <v>26</v>
      </c>
      <c r="K9" s="31">
        <f>240*K8/100</f>
        <v>12</v>
      </c>
      <c r="L9" s="67"/>
      <c r="X9" s="30"/>
      <c r="Y9" s="30"/>
      <c r="Z9" s="47"/>
    </row>
    <row r="10" spans="1:26" x14ac:dyDescent="0.3">
      <c r="A10" s="78">
        <v>38260</v>
      </c>
      <c r="B10" s="79">
        <v>985.17499999999995</v>
      </c>
      <c r="C10" s="79">
        <v>574.82600000000002</v>
      </c>
      <c r="D10" s="48">
        <f t="shared" ref="D10:D73" si="0">100*(B10/B9-1)</f>
        <v>0.24206447726689007</v>
      </c>
      <c r="E10" s="48">
        <f t="shared" ref="E10:E73" si="1">100*(C10/C9-1)</f>
        <v>0.89162539096370175</v>
      </c>
      <c r="F10" s="48">
        <f>(E10-D10)</f>
        <v>0.64956091369681168</v>
      </c>
      <c r="G10" s="48">
        <f>MAX(D10-E10,0)</f>
        <v>0</v>
      </c>
      <c r="J10" s="32" t="s">
        <v>47</v>
      </c>
      <c r="K10" s="48">
        <f>STDEV(F10:F249)</f>
        <v>1.3976441344755606</v>
      </c>
      <c r="L10" s="67" t="s">
        <v>48</v>
      </c>
    </row>
    <row r="11" spans="1:26" x14ac:dyDescent="0.3">
      <c r="A11" s="78">
        <v>38291</v>
      </c>
      <c r="B11" s="79">
        <v>992.79499999999996</v>
      </c>
      <c r="C11" s="79">
        <v>580.54200000000003</v>
      </c>
      <c r="D11" s="48">
        <f t="shared" si="0"/>
        <v>0.77346664298221235</v>
      </c>
      <c r="E11" s="48">
        <f>100*(C11/C10-1)</f>
        <v>0.99438786693712977</v>
      </c>
      <c r="F11" s="48">
        <f t="shared" ref="F11:F74" si="2">(E11-D11)</f>
        <v>0.22092122395491742</v>
      </c>
      <c r="G11" s="48">
        <f t="shared" ref="G11:G73" si="3">MAX(D11-E11,0)</f>
        <v>0</v>
      </c>
      <c r="J11" s="32" t="s">
        <v>23</v>
      </c>
      <c r="K11" s="51" cm="1">
        <f t="array" ref="K11">SUM(IF(G10:G249&gt;0,1,0))/240</f>
        <v>0.47916666666666669</v>
      </c>
      <c r="L11" s="67"/>
    </row>
    <row r="12" spans="1:26" x14ac:dyDescent="0.3">
      <c r="A12" s="78">
        <v>38321</v>
      </c>
      <c r="B12" s="79">
        <v>979.63599999999997</v>
      </c>
      <c r="C12" s="79">
        <v>588.077</v>
      </c>
      <c r="D12" s="48">
        <f t="shared" si="0"/>
        <v>-1.3254498662865988</v>
      </c>
      <c r="E12" s="48">
        <f t="shared" si="1"/>
        <v>1.2979250424603128</v>
      </c>
      <c r="F12" s="48">
        <f t="shared" si="2"/>
        <v>2.6233749087469116</v>
      </c>
      <c r="G12" s="48">
        <f>MAX(D12-E12,0)</f>
        <v>0</v>
      </c>
      <c r="J12" s="32" t="s">
        <v>27</v>
      </c>
      <c r="K12" s="51">
        <f>AVERAGE(G10:G249)</f>
        <v>0.50458426259247635</v>
      </c>
    </row>
    <row r="13" spans="1:26" x14ac:dyDescent="0.3">
      <c r="A13" s="78">
        <v>38352</v>
      </c>
      <c r="B13" s="79">
        <v>989.21100000000001</v>
      </c>
      <c r="C13" s="79">
        <v>592.048</v>
      </c>
      <c r="D13" s="48">
        <f t="shared" si="0"/>
        <v>0.97740385204301283</v>
      </c>
      <c r="E13" s="48">
        <f t="shared" si="1"/>
        <v>0.67525171023521402</v>
      </c>
      <c r="F13" s="48">
        <f t="shared" si="2"/>
        <v>-0.30215214180779881</v>
      </c>
      <c r="G13" s="48">
        <f t="shared" si="3"/>
        <v>0.30215214180779881</v>
      </c>
      <c r="J13" s="32" t="s">
        <v>3</v>
      </c>
      <c r="K13" s="48">
        <f>LARGE(F10:F249,K9)</f>
        <v>2.3044308442101702</v>
      </c>
      <c r="L13" s="67" t="s">
        <v>45</v>
      </c>
    </row>
    <row r="14" spans="1:26" x14ac:dyDescent="0.3">
      <c r="A14" s="78">
        <v>38383</v>
      </c>
      <c r="B14" s="79">
        <v>996.36699999999996</v>
      </c>
      <c r="C14" s="79">
        <v>591.10400000000004</v>
      </c>
      <c r="D14" s="48">
        <f t="shared" si="0"/>
        <v>0.7234048145441152</v>
      </c>
      <c r="E14" s="48">
        <f t="shared" si="1"/>
        <v>-0.15944653136231723</v>
      </c>
      <c r="F14" s="48">
        <f t="shared" si="2"/>
        <v>-0.88285134590643244</v>
      </c>
      <c r="G14" s="48">
        <f t="shared" si="3"/>
        <v>0.88285134590643244</v>
      </c>
      <c r="J14" s="32" t="s">
        <v>4</v>
      </c>
      <c r="K14" s="48" cm="1">
        <f t="array" ref="K14">SUM(IF(G10:G249&gt;=K13,G10:G249,0))/K9</f>
        <v>2.8304873590879751</v>
      </c>
      <c r="L14" s="67" t="s">
        <v>45</v>
      </c>
    </row>
    <row r="15" spans="1:26" x14ac:dyDescent="0.3">
      <c r="A15" s="78">
        <v>38411</v>
      </c>
      <c r="B15" s="79">
        <v>988.53</v>
      </c>
      <c r="C15" s="79">
        <v>589.30600000000004</v>
      </c>
      <c r="D15" s="48">
        <f t="shared" si="0"/>
        <v>-0.7865575636286648</v>
      </c>
      <c r="E15" s="48">
        <f t="shared" si="1"/>
        <v>-0.30417659159809318</v>
      </c>
      <c r="F15" s="48">
        <f t="shared" si="2"/>
        <v>0.48238097203057162</v>
      </c>
      <c r="G15" s="48">
        <f t="shared" si="3"/>
        <v>0</v>
      </c>
    </row>
    <row r="16" spans="1:26" x14ac:dyDescent="0.3">
      <c r="A16" s="78">
        <v>38442</v>
      </c>
      <c r="B16" s="79">
        <v>985.28499999999997</v>
      </c>
      <c r="C16" s="79">
        <v>591.57500000000005</v>
      </c>
      <c r="D16" s="48">
        <f t="shared" si="0"/>
        <v>-0.32826520186539643</v>
      </c>
      <c r="E16" s="48">
        <f t="shared" si="1"/>
        <v>0.38502916990494906</v>
      </c>
      <c r="F16" s="48">
        <f t="shared" si="2"/>
        <v>0.71329437177034549</v>
      </c>
      <c r="G16" s="48">
        <f t="shared" si="3"/>
        <v>0</v>
      </c>
      <c r="I16" s="68" t="s">
        <v>49</v>
      </c>
      <c r="J16" s="69"/>
      <c r="K16" s="69"/>
      <c r="L16" s="69"/>
      <c r="M16" s="70"/>
    </row>
    <row r="17" spans="1:13" x14ac:dyDescent="0.3">
      <c r="A17" s="78">
        <v>38472</v>
      </c>
      <c r="B17" s="79">
        <v>1002.289</v>
      </c>
      <c r="C17" s="79">
        <v>600.56399999999996</v>
      </c>
      <c r="D17" s="48">
        <f t="shared" si="0"/>
        <v>1.7257950745215966</v>
      </c>
      <c r="E17" s="48">
        <f t="shared" si="1"/>
        <v>1.5195030215948702</v>
      </c>
      <c r="F17" s="48">
        <f t="shared" si="2"/>
        <v>-0.20629205292672648</v>
      </c>
      <c r="G17" s="48">
        <f t="shared" si="3"/>
        <v>0.20629205292672648</v>
      </c>
      <c r="I17" s="32"/>
      <c r="J17" s="32"/>
      <c r="K17" s="35" t="s">
        <v>29</v>
      </c>
      <c r="L17" s="35" t="s">
        <v>3</v>
      </c>
      <c r="M17" s="35" t="s">
        <v>4</v>
      </c>
    </row>
    <row r="18" spans="1:13" x14ac:dyDescent="0.3">
      <c r="A18" s="78">
        <v>38503</v>
      </c>
      <c r="B18" s="79">
        <v>1014.482</v>
      </c>
      <c r="C18" s="79">
        <v>610.66700000000003</v>
      </c>
      <c r="D18" s="48">
        <f t="shared" si="0"/>
        <v>1.2165153962579556</v>
      </c>
      <c r="E18" s="48">
        <f t="shared" si="1"/>
        <v>1.6822520164379018</v>
      </c>
      <c r="F18" s="48">
        <f t="shared" si="2"/>
        <v>0.46573662017994621</v>
      </c>
      <c r="G18" s="48">
        <f t="shared" si="3"/>
        <v>0</v>
      </c>
      <c r="H18" s="65"/>
      <c r="I18" s="31">
        <f>I19*-1</f>
        <v>-6</v>
      </c>
      <c r="J18" s="31">
        <f>I18</f>
        <v>-6</v>
      </c>
      <c r="K18" s="51">
        <f>$I18-K12</f>
        <v>-6.5045842625924761</v>
      </c>
      <c r="L18" s="51">
        <f>$I18-K13</f>
        <v>-8.3044308442101702</v>
      </c>
      <c r="M18" s="51">
        <f>$I18-K14</f>
        <v>-8.8304873590879751</v>
      </c>
    </row>
    <row r="19" spans="1:13" x14ac:dyDescent="0.3">
      <c r="A19" s="78">
        <v>38533</v>
      </c>
      <c r="B19" s="79">
        <v>1020.684</v>
      </c>
      <c r="C19" s="79">
        <v>620.19000000000005</v>
      </c>
      <c r="D19" s="48">
        <f t="shared" si="0"/>
        <v>0.61134648027270089</v>
      </c>
      <c r="E19" s="48">
        <f t="shared" si="1"/>
        <v>1.5594423802170354</v>
      </c>
      <c r="F19" s="48">
        <f t="shared" si="2"/>
        <v>0.94809589994433452</v>
      </c>
      <c r="G19" s="48">
        <f t="shared" si="3"/>
        <v>0</v>
      </c>
      <c r="I19" s="66">
        <f>ROUNDUP(MAX(D9:G249),0)</f>
        <v>6</v>
      </c>
      <c r="J19" s="66">
        <f>I19</f>
        <v>6</v>
      </c>
      <c r="K19" s="51">
        <f>$I19-K12</f>
        <v>5.4954157374075239</v>
      </c>
      <c r="L19" s="51">
        <f>$I19-K13</f>
        <v>3.6955691557898298</v>
      </c>
      <c r="M19" s="51">
        <f>$I19-K14</f>
        <v>3.1695126409120249</v>
      </c>
    </row>
    <row r="20" spans="1:13" x14ac:dyDescent="0.3">
      <c r="A20" s="78">
        <v>38564</v>
      </c>
      <c r="B20" s="79">
        <v>1007.14</v>
      </c>
      <c r="C20" s="79">
        <v>615.39599999999996</v>
      </c>
      <c r="D20" s="48">
        <f t="shared" si="0"/>
        <v>-1.32695329798449</v>
      </c>
      <c r="E20" s="48">
        <f t="shared" si="1"/>
        <v>-0.77298892274949571</v>
      </c>
      <c r="F20" s="48">
        <f t="shared" si="2"/>
        <v>0.55396437523499431</v>
      </c>
      <c r="G20" s="48">
        <f t="shared" si="3"/>
        <v>0</v>
      </c>
    </row>
    <row r="21" spans="1:13" x14ac:dyDescent="0.3">
      <c r="A21" s="78">
        <v>38595</v>
      </c>
      <c r="B21" s="79">
        <v>1023.112</v>
      </c>
      <c r="C21" s="79">
        <v>624.00099999999998</v>
      </c>
      <c r="D21" s="48">
        <f t="shared" si="0"/>
        <v>1.5858768393669287</v>
      </c>
      <c r="E21" s="48">
        <f t="shared" si="1"/>
        <v>1.3982866316973208</v>
      </c>
      <c r="F21" s="48">
        <f t="shared" si="2"/>
        <v>-0.18759020766960788</v>
      </c>
      <c r="G21" s="48">
        <f t="shared" si="3"/>
        <v>0.18759020766960788</v>
      </c>
    </row>
    <row r="22" spans="1:13" x14ac:dyDescent="0.3">
      <c r="A22" s="78">
        <v>38625</v>
      </c>
      <c r="B22" s="79">
        <v>1009.655</v>
      </c>
      <c r="C22" s="79">
        <v>622.23800000000006</v>
      </c>
      <c r="D22" s="48">
        <f t="shared" si="0"/>
        <v>-1.3153007686352969</v>
      </c>
      <c r="E22" s="48">
        <f t="shared" si="1"/>
        <v>-0.2825315985070409</v>
      </c>
      <c r="F22" s="48">
        <f t="shared" si="2"/>
        <v>1.032769170128256</v>
      </c>
      <c r="G22" s="48">
        <f t="shared" si="3"/>
        <v>0</v>
      </c>
    </row>
    <row r="23" spans="1:13" x14ac:dyDescent="0.3">
      <c r="A23" s="78">
        <v>38656</v>
      </c>
      <c r="B23" s="79">
        <v>1001.972</v>
      </c>
      <c r="C23" s="79">
        <v>622.74400000000003</v>
      </c>
      <c r="D23" s="48">
        <f t="shared" si="0"/>
        <v>-0.76095299879661571</v>
      </c>
      <c r="E23" s="48">
        <f t="shared" si="1"/>
        <v>8.1319366544629901E-2</v>
      </c>
      <c r="F23" s="48">
        <f t="shared" si="2"/>
        <v>0.84227236534124561</v>
      </c>
      <c r="G23" s="48">
        <f t="shared" si="3"/>
        <v>0</v>
      </c>
    </row>
    <row r="24" spans="1:13" x14ac:dyDescent="0.3">
      <c r="A24" s="78">
        <v>38686</v>
      </c>
      <c r="B24" s="79">
        <v>1006.749</v>
      </c>
      <c r="C24" s="79">
        <v>630.16499999999996</v>
      </c>
      <c r="D24" s="48">
        <f t="shared" si="0"/>
        <v>0.47675982961599139</v>
      </c>
      <c r="E24" s="48">
        <f t="shared" si="1"/>
        <v>1.1916614210654597</v>
      </c>
      <c r="F24" s="48">
        <f t="shared" si="2"/>
        <v>0.7149015914494683</v>
      </c>
      <c r="G24" s="48">
        <f t="shared" si="3"/>
        <v>0</v>
      </c>
    </row>
    <row r="25" spans="1:13" x14ac:dyDescent="0.3">
      <c r="A25" s="78">
        <v>38717</v>
      </c>
      <c r="B25" s="79">
        <v>1016.984</v>
      </c>
      <c r="C25" s="79">
        <v>638.87599999999998</v>
      </c>
      <c r="D25" s="48">
        <f t="shared" si="0"/>
        <v>1.016638705377404</v>
      </c>
      <c r="E25" s="48">
        <f t="shared" si="1"/>
        <v>1.3823363722199833</v>
      </c>
      <c r="F25" s="48">
        <f t="shared" si="2"/>
        <v>0.36569766684257932</v>
      </c>
      <c r="G25" s="48">
        <f t="shared" si="3"/>
        <v>0</v>
      </c>
    </row>
    <row r="26" spans="1:13" x14ac:dyDescent="0.3">
      <c r="A26" s="78">
        <v>38748</v>
      </c>
      <c r="B26" s="79">
        <v>1014.164</v>
      </c>
      <c r="C26" s="79">
        <v>644.03599999999994</v>
      </c>
      <c r="D26" s="48">
        <f t="shared" si="0"/>
        <v>-0.27729049817893925</v>
      </c>
      <c r="E26" s="48">
        <f t="shared" si="1"/>
        <v>0.80766846774646961</v>
      </c>
      <c r="F26" s="48">
        <f t="shared" si="2"/>
        <v>1.0849589659254089</v>
      </c>
      <c r="G26" s="48">
        <f t="shared" si="3"/>
        <v>0</v>
      </c>
    </row>
    <row r="27" spans="1:13" x14ac:dyDescent="0.3">
      <c r="A27" s="78">
        <v>38776</v>
      </c>
      <c r="B27" s="79">
        <v>1015.777</v>
      </c>
      <c r="C27" s="79">
        <v>644.71799999999996</v>
      </c>
      <c r="D27" s="48">
        <f t="shared" si="0"/>
        <v>0.1590472546846522</v>
      </c>
      <c r="E27" s="48">
        <f t="shared" si="1"/>
        <v>0.10589470153843372</v>
      </c>
      <c r="F27" s="48">
        <f t="shared" si="2"/>
        <v>-5.3152553146218473E-2</v>
      </c>
      <c r="G27" s="48">
        <f t="shared" si="3"/>
        <v>5.3152553146218473E-2</v>
      </c>
    </row>
    <row r="28" spans="1:13" x14ac:dyDescent="0.3">
      <c r="A28" s="78">
        <v>38807</v>
      </c>
      <c r="B28" s="79">
        <v>1005.254</v>
      </c>
      <c r="C28" s="79">
        <v>635.07500000000005</v>
      </c>
      <c r="D28" s="48">
        <f t="shared" si="0"/>
        <v>-1.0359557265029684</v>
      </c>
      <c r="E28" s="48">
        <f t="shared" si="1"/>
        <v>-1.495692690447592</v>
      </c>
      <c r="F28" s="48">
        <f t="shared" si="2"/>
        <v>-0.4597369639446236</v>
      </c>
      <c r="G28" s="48">
        <f t="shared" si="3"/>
        <v>0.4597369639446236</v>
      </c>
    </row>
    <row r="29" spans="1:13" x14ac:dyDescent="0.3">
      <c r="A29" s="78">
        <v>38837</v>
      </c>
      <c r="B29" s="79">
        <v>1001.107</v>
      </c>
      <c r="C29" s="79">
        <v>625.48199999999997</v>
      </c>
      <c r="D29" s="48">
        <f t="shared" si="0"/>
        <v>-0.41253255396148658</v>
      </c>
      <c r="E29" s="48">
        <f t="shared" si="1"/>
        <v>-1.5105302523324093</v>
      </c>
      <c r="F29" s="48">
        <f t="shared" si="2"/>
        <v>-1.0979976983709228</v>
      </c>
      <c r="G29" s="48">
        <f t="shared" si="3"/>
        <v>1.0979976983709228</v>
      </c>
    </row>
    <row r="30" spans="1:13" x14ac:dyDescent="0.3">
      <c r="A30" s="78">
        <v>38868</v>
      </c>
      <c r="B30" s="79">
        <v>1001.641</v>
      </c>
      <c r="C30" s="79">
        <v>630.08100000000002</v>
      </c>
      <c r="D30" s="48">
        <f t="shared" si="0"/>
        <v>5.3340951566616113E-2</v>
      </c>
      <c r="E30" s="48">
        <f t="shared" si="1"/>
        <v>0.73527295749518107</v>
      </c>
      <c r="F30" s="48">
        <f t="shared" si="2"/>
        <v>0.68193200592856495</v>
      </c>
      <c r="G30" s="48">
        <f t="shared" si="3"/>
        <v>0</v>
      </c>
    </row>
    <row r="31" spans="1:13" x14ac:dyDescent="0.3">
      <c r="A31" s="78">
        <v>38898</v>
      </c>
      <c r="B31" s="79">
        <v>1004.8</v>
      </c>
      <c r="C31" s="79">
        <v>626.66099999999994</v>
      </c>
      <c r="D31" s="48">
        <f t="shared" si="0"/>
        <v>0.31538245738742532</v>
      </c>
      <c r="E31" s="48">
        <f t="shared" si="1"/>
        <v>-0.54278735591138938</v>
      </c>
      <c r="F31" s="48">
        <f t="shared" si="2"/>
        <v>-0.8581698132988147</v>
      </c>
      <c r="G31" s="48">
        <f t="shared" si="3"/>
        <v>0.8581698132988147</v>
      </c>
    </row>
    <row r="32" spans="1:13" x14ac:dyDescent="0.3">
      <c r="A32" s="78">
        <v>38929</v>
      </c>
      <c r="B32" s="79">
        <v>1017.011</v>
      </c>
      <c r="C32" s="79">
        <v>635.16200000000003</v>
      </c>
      <c r="D32" s="48">
        <f t="shared" si="0"/>
        <v>1.2152667197452338</v>
      </c>
      <c r="E32" s="48">
        <f t="shared" si="1"/>
        <v>1.3565548199106159</v>
      </c>
      <c r="F32" s="48">
        <f t="shared" si="2"/>
        <v>0.14128810016538207</v>
      </c>
      <c r="G32" s="48">
        <f t="shared" si="3"/>
        <v>0</v>
      </c>
    </row>
    <row r="33" spans="1:7" x14ac:dyDescent="0.3">
      <c r="A33" s="78">
        <v>38960</v>
      </c>
      <c r="B33" s="79">
        <v>1031.9069999999999</v>
      </c>
      <c r="C33" s="79">
        <v>642.03700000000003</v>
      </c>
      <c r="D33" s="48">
        <f t="shared" si="0"/>
        <v>1.464684256119142</v>
      </c>
      <c r="E33" s="48">
        <f t="shared" si="1"/>
        <v>1.0824010252502569</v>
      </c>
      <c r="F33" s="48">
        <f t="shared" si="2"/>
        <v>-0.38228323086888505</v>
      </c>
      <c r="G33" s="48">
        <f t="shared" si="3"/>
        <v>0.38228323086888505</v>
      </c>
    </row>
    <row r="34" spans="1:7" x14ac:dyDescent="0.3">
      <c r="A34" s="78">
        <v>38990</v>
      </c>
      <c r="B34" s="79">
        <v>1041.3689999999999</v>
      </c>
      <c r="C34" s="79">
        <v>644.827</v>
      </c>
      <c r="D34" s="48">
        <f t="shared" si="0"/>
        <v>0.91694309661627393</v>
      </c>
      <c r="E34" s="48">
        <f t="shared" si="1"/>
        <v>0.43455439484016978</v>
      </c>
      <c r="F34" s="48">
        <f t="shared" si="2"/>
        <v>-0.48238870177610416</v>
      </c>
      <c r="G34" s="48">
        <f t="shared" si="3"/>
        <v>0.48238870177610416</v>
      </c>
    </row>
    <row r="35" spans="1:7" x14ac:dyDescent="0.3">
      <c r="A35" s="78">
        <v>39021</v>
      </c>
      <c r="B35" s="79">
        <v>1046.6990000000001</v>
      </c>
      <c r="C35" s="79">
        <v>650.26099999999997</v>
      </c>
      <c r="D35" s="48">
        <f t="shared" si="0"/>
        <v>0.51182625947192584</v>
      </c>
      <c r="E35" s="48">
        <f t="shared" si="1"/>
        <v>0.84270664844989795</v>
      </c>
      <c r="F35" s="48">
        <f t="shared" si="2"/>
        <v>0.33088038897797212</v>
      </c>
      <c r="G35" s="48">
        <f t="shared" si="3"/>
        <v>0</v>
      </c>
    </row>
    <row r="36" spans="1:7" x14ac:dyDescent="0.3">
      <c r="A36" s="78">
        <v>39051</v>
      </c>
      <c r="B36" s="79">
        <v>1057.5730000000001</v>
      </c>
      <c r="C36" s="79">
        <v>650.88499999999999</v>
      </c>
      <c r="D36" s="48">
        <f t="shared" si="0"/>
        <v>1.0388851045047387</v>
      </c>
      <c r="E36" s="48">
        <f t="shared" si="1"/>
        <v>9.5961467779859255E-2</v>
      </c>
      <c r="F36" s="48">
        <f t="shared" si="2"/>
        <v>-0.94292363672487944</v>
      </c>
      <c r="G36" s="48">
        <f t="shared" si="3"/>
        <v>0.94292363672487944</v>
      </c>
    </row>
    <row r="37" spans="1:7" x14ac:dyDescent="0.3">
      <c r="A37" s="78">
        <v>39082</v>
      </c>
      <c r="B37" s="79">
        <v>1048.8910000000001</v>
      </c>
      <c r="C37" s="79">
        <v>642.58500000000004</v>
      </c>
      <c r="D37" s="48">
        <f t="shared" si="0"/>
        <v>-0.82093623797128146</v>
      </c>
      <c r="E37" s="48">
        <f t="shared" si="1"/>
        <v>-1.2751868609662154</v>
      </c>
      <c r="F37" s="48">
        <f t="shared" si="2"/>
        <v>-0.45425062299493391</v>
      </c>
      <c r="G37" s="48">
        <f t="shared" si="3"/>
        <v>0.45425062299493391</v>
      </c>
    </row>
    <row r="38" spans="1:7" x14ac:dyDescent="0.3">
      <c r="A38" s="78">
        <v>39113</v>
      </c>
      <c r="B38" s="79">
        <v>1047.29</v>
      </c>
      <c r="C38" s="79">
        <v>633.09699999999998</v>
      </c>
      <c r="D38" s="48">
        <f t="shared" si="0"/>
        <v>-0.15263740464930287</v>
      </c>
      <c r="E38" s="48">
        <f t="shared" si="1"/>
        <v>-1.4765361780931796</v>
      </c>
      <c r="F38" s="48">
        <f t="shared" si="2"/>
        <v>-1.3238987734438767</v>
      </c>
      <c r="G38" s="48">
        <f t="shared" si="3"/>
        <v>1.3238987734438767</v>
      </c>
    </row>
    <row r="39" spans="1:7" x14ac:dyDescent="0.3">
      <c r="A39" s="78">
        <v>39141</v>
      </c>
      <c r="B39" s="79">
        <v>1064.5640000000001</v>
      </c>
      <c r="C39" s="79">
        <v>644.39</v>
      </c>
      <c r="D39" s="48">
        <f t="shared" si="0"/>
        <v>1.649399879689506</v>
      </c>
      <c r="E39" s="48">
        <f t="shared" si="1"/>
        <v>1.7837708913484018</v>
      </c>
      <c r="F39" s="48">
        <f t="shared" si="2"/>
        <v>0.13437101165889587</v>
      </c>
      <c r="G39" s="48">
        <f t="shared" si="3"/>
        <v>0</v>
      </c>
    </row>
    <row r="40" spans="1:7" x14ac:dyDescent="0.3">
      <c r="A40" s="78">
        <v>39172</v>
      </c>
      <c r="B40" s="79">
        <v>1063.9659999999999</v>
      </c>
      <c r="C40" s="79">
        <v>637.26</v>
      </c>
      <c r="D40" s="48">
        <f t="shared" si="0"/>
        <v>-5.6173231482581354E-2</v>
      </c>
      <c r="E40" s="48">
        <f t="shared" si="1"/>
        <v>-1.1064727882183156</v>
      </c>
      <c r="F40" s="48">
        <f t="shared" si="2"/>
        <v>-1.0502995567357343</v>
      </c>
      <c r="G40" s="48">
        <f t="shared" si="3"/>
        <v>1.0502995567357343</v>
      </c>
    </row>
    <row r="41" spans="1:7" x14ac:dyDescent="0.3">
      <c r="A41" s="78">
        <v>39202</v>
      </c>
      <c r="B41" s="79">
        <v>1069.5550000000001</v>
      </c>
      <c r="C41" s="79">
        <v>634.95500000000004</v>
      </c>
      <c r="D41" s="48">
        <f t="shared" si="0"/>
        <v>0.5252987407492471</v>
      </c>
      <c r="E41" s="48">
        <f t="shared" si="1"/>
        <v>-0.36170479866929339</v>
      </c>
      <c r="F41" s="48">
        <f t="shared" si="2"/>
        <v>-0.88700353941854049</v>
      </c>
      <c r="G41" s="48">
        <f t="shared" si="3"/>
        <v>0.88700353941854049</v>
      </c>
    </row>
    <row r="42" spans="1:7" x14ac:dyDescent="0.3">
      <c r="A42" s="78">
        <v>39233</v>
      </c>
      <c r="B42" s="79">
        <v>1060.2550000000001</v>
      </c>
      <c r="C42" s="79">
        <v>628.48800000000006</v>
      </c>
      <c r="D42" s="48">
        <f t="shared" si="0"/>
        <v>-0.8695205015169849</v>
      </c>
      <c r="E42" s="48">
        <f t="shared" si="1"/>
        <v>-1.018497373829641</v>
      </c>
      <c r="F42" s="48">
        <f t="shared" si="2"/>
        <v>-0.14897687231265611</v>
      </c>
      <c r="G42" s="48">
        <f t="shared" si="3"/>
        <v>0.14897687231265611</v>
      </c>
    </row>
    <row r="43" spans="1:7" x14ac:dyDescent="0.3">
      <c r="A43" s="78">
        <v>39263</v>
      </c>
      <c r="B43" s="79">
        <v>1059.7</v>
      </c>
      <c r="C43" s="79">
        <v>620.149</v>
      </c>
      <c r="D43" s="48">
        <f t="shared" si="0"/>
        <v>-5.2345897920791362E-2</v>
      </c>
      <c r="E43" s="48">
        <f t="shared" si="1"/>
        <v>-1.3268351981263082</v>
      </c>
      <c r="F43" s="48">
        <f t="shared" si="2"/>
        <v>-1.2744893002055169</v>
      </c>
      <c r="G43" s="48">
        <f t="shared" si="3"/>
        <v>1.2744893002055169</v>
      </c>
    </row>
    <row r="44" spans="1:7" x14ac:dyDescent="0.3">
      <c r="A44" s="78">
        <v>39294</v>
      </c>
      <c r="B44" s="79">
        <v>1077.2929999999999</v>
      </c>
      <c r="C44" s="79">
        <v>636.64499999999998</v>
      </c>
      <c r="D44" s="48">
        <f t="shared" si="0"/>
        <v>1.6601868453335777</v>
      </c>
      <c r="E44" s="48">
        <f t="shared" si="1"/>
        <v>2.6600059018074607</v>
      </c>
      <c r="F44" s="48">
        <f t="shared" si="2"/>
        <v>0.99981905647388292</v>
      </c>
      <c r="G44" s="48">
        <f t="shared" si="3"/>
        <v>0</v>
      </c>
    </row>
    <row r="45" spans="1:7" x14ac:dyDescent="0.3">
      <c r="A45" s="78">
        <v>39325</v>
      </c>
      <c r="B45" s="79">
        <v>1094.2729999999999</v>
      </c>
      <c r="C45" s="79">
        <v>646.60599999999999</v>
      </c>
      <c r="D45" s="48">
        <f t="shared" si="0"/>
        <v>1.5761728703333366</v>
      </c>
      <c r="E45" s="48">
        <f t="shared" si="1"/>
        <v>1.5646082196514532</v>
      </c>
      <c r="F45" s="48">
        <f t="shared" si="2"/>
        <v>-1.1564650681883393E-2</v>
      </c>
      <c r="G45" s="48">
        <f t="shared" si="3"/>
        <v>1.1564650681883393E-2</v>
      </c>
    </row>
    <row r="46" spans="1:7" x14ac:dyDescent="0.3">
      <c r="A46" s="78">
        <v>39355</v>
      </c>
      <c r="B46" s="79">
        <v>1100.1420000000001</v>
      </c>
      <c r="C46" s="79">
        <v>646.51700000000005</v>
      </c>
      <c r="D46" s="48">
        <f t="shared" si="0"/>
        <v>0.5363378242906558</v>
      </c>
      <c r="E46" s="48">
        <f t="shared" si="1"/>
        <v>-1.3764177876474104E-2</v>
      </c>
      <c r="F46" s="48">
        <f t="shared" si="2"/>
        <v>-0.5501020021671299</v>
      </c>
      <c r="G46" s="48">
        <f t="shared" si="3"/>
        <v>0.5501020021671299</v>
      </c>
    </row>
    <row r="47" spans="1:7" x14ac:dyDescent="0.3">
      <c r="A47" s="78">
        <v>39386</v>
      </c>
      <c r="B47" s="79">
        <v>1108.7829999999999</v>
      </c>
      <c r="C47" s="79">
        <v>652.40200000000004</v>
      </c>
      <c r="D47" s="48">
        <f t="shared" si="0"/>
        <v>0.78544406085758744</v>
      </c>
      <c r="E47" s="48">
        <f t="shared" si="1"/>
        <v>0.91026222048298244</v>
      </c>
      <c r="F47" s="48">
        <f t="shared" si="2"/>
        <v>0.124818159625395</v>
      </c>
      <c r="G47" s="48">
        <f t="shared" si="3"/>
        <v>0</v>
      </c>
    </row>
    <row r="48" spans="1:7" x14ac:dyDescent="0.3">
      <c r="A48" s="78">
        <v>39416</v>
      </c>
      <c r="B48" s="79">
        <v>1142.482</v>
      </c>
      <c r="C48" s="79">
        <v>664.21</v>
      </c>
      <c r="D48" s="48">
        <f t="shared" si="0"/>
        <v>3.0392781996116502</v>
      </c>
      <c r="E48" s="48">
        <f t="shared" si="1"/>
        <v>1.8099270081943342</v>
      </c>
      <c r="F48" s="48">
        <f t="shared" si="2"/>
        <v>-1.2293511914173161</v>
      </c>
      <c r="G48" s="48">
        <f t="shared" si="3"/>
        <v>1.2293511914173161</v>
      </c>
    </row>
    <row r="49" spans="1:7" x14ac:dyDescent="0.3">
      <c r="A49" s="78">
        <v>39447</v>
      </c>
      <c r="B49" s="79">
        <v>1143.8689999999999</v>
      </c>
      <c r="C49" s="79">
        <v>676.01599999999996</v>
      </c>
      <c r="D49" s="48">
        <f t="shared" si="0"/>
        <v>0.12140235032149782</v>
      </c>
      <c r="E49" s="48">
        <f t="shared" si="1"/>
        <v>1.7774499028921475</v>
      </c>
      <c r="F49" s="48">
        <f t="shared" si="2"/>
        <v>1.6560475525706497</v>
      </c>
      <c r="G49" s="48">
        <f t="shared" si="3"/>
        <v>0</v>
      </c>
    </row>
    <row r="50" spans="1:7" x14ac:dyDescent="0.3">
      <c r="A50" s="78">
        <v>39478</v>
      </c>
      <c r="B50" s="79">
        <v>1172.7260000000001</v>
      </c>
      <c r="C50" s="79">
        <v>678.32500000000005</v>
      </c>
      <c r="D50" s="48">
        <f t="shared" si="0"/>
        <v>2.5227539167509638</v>
      </c>
      <c r="E50" s="48">
        <f t="shared" si="1"/>
        <v>0.34155996307780878</v>
      </c>
      <c r="F50" s="48">
        <f t="shared" si="2"/>
        <v>-2.1811939536731551</v>
      </c>
      <c r="G50" s="48">
        <f t="shared" si="3"/>
        <v>2.1811939536731551</v>
      </c>
    </row>
    <row r="51" spans="1:7" x14ac:dyDescent="0.3">
      <c r="A51" s="78">
        <v>39507</v>
      </c>
      <c r="B51" s="79">
        <v>1185.4780000000001</v>
      </c>
      <c r="C51" s="79">
        <v>680.452</v>
      </c>
      <c r="D51" s="48">
        <f t="shared" si="0"/>
        <v>1.0873810250646709</v>
      </c>
      <c r="E51" s="48">
        <f t="shared" si="1"/>
        <v>0.31356650573102218</v>
      </c>
      <c r="F51" s="48">
        <f t="shared" si="2"/>
        <v>-0.77381451933364875</v>
      </c>
      <c r="G51" s="48">
        <f t="shared" si="3"/>
        <v>0.77381451933364875</v>
      </c>
    </row>
    <row r="52" spans="1:7" x14ac:dyDescent="0.3">
      <c r="A52" s="78">
        <v>39538</v>
      </c>
      <c r="B52" s="79">
        <v>1194.075</v>
      </c>
      <c r="C52" s="79">
        <v>685.779</v>
      </c>
      <c r="D52" s="48">
        <f t="shared" si="0"/>
        <v>0.72519270707680494</v>
      </c>
      <c r="E52" s="48">
        <f t="shared" si="1"/>
        <v>0.78286197997801121</v>
      </c>
      <c r="F52" s="48">
        <f t="shared" si="2"/>
        <v>5.766927290120627E-2</v>
      </c>
      <c r="G52" s="48">
        <f t="shared" si="3"/>
        <v>0</v>
      </c>
    </row>
    <row r="53" spans="1:7" x14ac:dyDescent="0.3">
      <c r="A53" s="78">
        <v>39568</v>
      </c>
      <c r="B53" s="79">
        <v>1173.835</v>
      </c>
      <c r="C53" s="79">
        <v>674.76700000000005</v>
      </c>
      <c r="D53" s="48">
        <f t="shared" si="0"/>
        <v>-1.6950359064547893</v>
      </c>
      <c r="E53" s="48">
        <f t="shared" si="1"/>
        <v>-1.6057651225832137</v>
      </c>
      <c r="F53" s="48">
        <f t="shared" si="2"/>
        <v>8.927078387157561E-2</v>
      </c>
      <c r="G53" s="48">
        <f t="shared" si="3"/>
        <v>0</v>
      </c>
    </row>
    <row r="54" spans="1:7" x14ac:dyDescent="0.3">
      <c r="A54" s="78">
        <v>39599</v>
      </c>
      <c r="B54" s="79">
        <v>1159.691</v>
      </c>
      <c r="C54" s="79">
        <v>663.43799999999999</v>
      </c>
      <c r="D54" s="48">
        <f t="shared" si="0"/>
        <v>-1.2049393654133711</v>
      </c>
      <c r="E54" s="48">
        <f t="shared" si="1"/>
        <v>-1.6789499190090873</v>
      </c>
      <c r="F54" s="48">
        <f t="shared" si="2"/>
        <v>-0.4740105535957162</v>
      </c>
      <c r="G54" s="48">
        <f t="shared" si="3"/>
        <v>0.4740105535957162</v>
      </c>
    </row>
    <row r="55" spans="1:7" x14ac:dyDescent="0.3">
      <c r="A55" s="78">
        <v>39629</v>
      </c>
      <c r="B55" s="79">
        <v>1169.3679999999999</v>
      </c>
      <c r="C55" s="79">
        <v>658.98400000000004</v>
      </c>
      <c r="D55" s="48">
        <f t="shared" si="0"/>
        <v>0.83444641719214729</v>
      </c>
      <c r="E55" s="48">
        <f t="shared" si="1"/>
        <v>-0.67135135461037221</v>
      </c>
      <c r="F55" s="48">
        <f t="shared" si="2"/>
        <v>-1.5057977718025195</v>
      </c>
      <c r="G55" s="48">
        <f t="shared" si="3"/>
        <v>1.5057977718025195</v>
      </c>
    </row>
    <row r="56" spans="1:7" x14ac:dyDescent="0.3">
      <c r="A56" s="78">
        <v>39660</v>
      </c>
      <c r="B56" s="79">
        <v>1174.0329999999999</v>
      </c>
      <c r="C56" s="79">
        <v>676.63</v>
      </c>
      <c r="D56" s="48">
        <f t="shared" si="0"/>
        <v>0.39893344096981753</v>
      </c>
      <c r="E56" s="48">
        <f t="shared" si="1"/>
        <v>2.6777584888252104</v>
      </c>
      <c r="F56" s="48">
        <f t="shared" si="2"/>
        <v>2.2788250478553929</v>
      </c>
      <c r="G56" s="48">
        <f t="shared" si="3"/>
        <v>0</v>
      </c>
    </row>
    <row r="57" spans="1:7" x14ac:dyDescent="0.3">
      <c r="A57" s="78">
        <v>39691</v>
      </c>
      <c r="B57" s="79">
        <v>1188.829</v>
      </c>
      <c r="C57" s="79">
        <v>690.65899999999999</v>
      </c>
      <c r="D57" s="48">
        <f t="shared" si="0"/>
        <v>1.2602712189521137</v>
      </c>
      <c r="E57" s="48">
        <f t="shared" si="1"/>
        <v>2.0733635812778095</v>
      </c>
      <c r="F57" s="48">
        <f t="shared" si="2"/>
        <v>0.81309236232569582</v>
      </c>
      <c r="G57" s="48">
        <f t="shared" si="3"/>
        <v>0</v>
      </c>
    </row>
    <row r="58" spans="1:7" x14ac:dyDescent="0.3">
      <c r="A58" s="78">
        <v>39721</v>
      </c>
      <c r="B58" s="79">
        <v>1196.6130000000001</v>
      </c>
      <c r="C58" s="79">
        <v>691.14</v>
      </c>
      <c r="D58" s="48">
        <f t="shared" si="0"/>
        <v>0.65476195483118449</v>
      </c>
      <c r="E58" s="48">
        <f t="shared" si="1"/>
        <v>6.9643630214044627E-2</v>
      </c>
      <c r="F58" s="48">
        <f t="shared" si="2"/>
        <v>-0.58511832461713986</v>
      </c>
      <c r="G58" s="48">
        <f t="shared" si="3"/>
        <v>0.58511832461713986</v>
      </c>
    </row>
    <row r="59" spans="1:7" x14ac:dyDescent="0.3">
      <c r="A59" s="78">
        <v>39752</v>
      </c>
      <c r="B59" s="79">
        <v>1194.8699999999999</v>
      </c>
      <c r="C59" s="79">
        <v>692.75699999999995</v>
      </c>
      <c r="D59" s="48">
        <f t="shared" si="0"/>
        <v>-0.14566112853530155</v>
      </c>
      <c r="E59" s="48">
        <f t="shared" si="1"/>
        <v>0.23396128136121686</v>
      </c>
      <c r="F59" s="48">
        <f t="shared" si="2"/>
        <v>0.37962240989651841</v>
      </c>
      <c r="G59" s="48">
        <f t="shared" si="3"/>
        <v>0</v>
      </c>
    </row>
    <row r="60" spans="1:7" x14ac:dyDescent="0.3">
      <c r="A60" s="78">
        <v>39782</v>
      </c>
      <c r="B60" s="79">
        <v>1259.124</v>
      </c>
      <c r="C60" s="79">
        <v>724.90700000000004</v>
      </c>
      <c r="D60" s="48">
        <f t="shared" si="0"/>
        <v>5.377488764468108</v>
      </c>
      <c r="E60" s="48">
        <f t="shared" si="1"/>
        <v>4.6408769597420241</v>
      </c>
      <c r="F60" s="48">
        <f t="shared" si="2"/>
        <v>-0.7366118047260839</v>
      </c>
      <c r="G60" s="48">
        <f t="shared" si="3"/>
        <v>0.7366118047260839</v>
      </c>
    </row>
    <row r="61" spans="1:7" x14ac:dyDescent="0.3">
      <c r="A61" s="78">
        <v>39813</v>
      </c>
      <c r="B61" s="79">
        <v>1303.7529999999999</v>
      </c>
      <c r="C61" s="79">
        <v>764.221</v>
      </c>
      <c r="D61" s="48">
        <f t="shared" si="0"/>
        <v>3.5444483625123313</v>
      </c>
      <c r="E61" s="48">
        <f t="shared" si="1"/>
        <v>5.4233163702378295</v>
      </c>
      <c r="F61" s="48">
        <f t="shared" si="2"/>
        <v>1.8788680077254982</v>
      </c>
      <c r="G61" s="48">
        <f t="shared" si="3"/>
        <v>0</v>
      </c>
    </row>
    <row r="62" spans="1:7" x14ac:dyDescent="0.3">
      <c r="A62" s="78">
        <v>39844</v>
      </c>
      <c r="B62" s="79">
        <v>1263.5820000000001</v>
      </c>
      <c r="C62" s="79">
        <v>727.58799999999997</v>
      </c>
      <c r="D62" s="48">
        <f t="shared" si="0"/>
        <v>-3.0811817882681614</v>
      </c>
      <c r="E62" s="48">
        <f t="shared" si="1"/>
        <v>-4.7935086840063317</v>
      </c>
      <c r="F62" s="48">
        <f t="shared" si="2"/>
        <v>-1.7123268957381703</v>
      </c>
      <c r="G62" s="48">
        <f t="shared" si="3"/>
        <v>1.7123268957381703</v>
      </c>
    </row>
    <row r="63" spans="1:7" x14ac:dyDescent="0.3">
      <c r="A63" s="78">
        <v>39872</v>
      </c>
      <c r="B63" s="79">
        <v>1256.712</v>
      </c>
      <c r="C63" s="79">
        <v>738.72799999999995</v>
      </c>
      <c r="D63" s="48">
        <f t="shared" si="0"/>
        <v>-0.54369245525816012</v>
      </c>
      <c r="E63" s="48">
        <f t="shared" si="1"/>
        <v>1.5310862741001685</v>
      </c>
      <c r="F63" s="48">
        <f t="shared" si="2"/>
        <v>2.0747787293583286</v>
      </c>
      <c r="G63" s="48">
        <f t="shared" si="3"/>
        <v>0</v>
      </c>
    </row>
    <row r="64" spans="1:7" x14ac:dyDescent="0.3">
      <c r="A64" s="78">
        <v>39903</v>
      </c>
      <c r="B64" s="79">
        <v>1285.127</v>
      </c>
      <c r="C64" s="79">
        <v>758.29399999999998</v>
      </c>
      <c r="D64" s="48">
        <f t="shared" si="0"/>
        <v>2.2610590174996226</v>
      </c>
      <c r="E64" s="48">
        <f t="shared" si="1"/>
        <v>2.6486067943817027</v>
      </c>
      <c r="F64" s="48">
        <f t="shared" si="2"/>
        <v>0.38754777688208009</v>
      </c>
      <c r="G64" s="48">
        <f t="shared" si="3"/>
        <v>0</v>
      </c>
    </row>
    <row r="65" spans="1:7" x14ac:dyDescent="0.3">
      <c r="A65" s="78">
        <v>39933</v>
      </c>
      <c r="B65" s="79">
        <v>1260.7280000000001</v>
      </c>
      <c r="C65" s="79">
        <v>747.80700000000002</v>
      </c>
      <c r="D65" s="48">
        <f t="shared" si="0"/>
        <v>-1.8985672233172157</v>
      </c>
      <c r="E65" s="48">
        <f t="shared" si="1"/>
        <v>-1.3829728311182676</v>
      </c>
      <c r="F65" s="48">
        <f t="shared" si="2"/>
        <v>0.51559439219894809</v>
      </c>
      <c r="G65" s="48">
        <f t="shared" si="3"/>
        <v>0</v>
      </c>
    </row>
    <row r="66" spans="1:7" x14ac:dyDescent="0.3">
      <c r="A66" s="78">
        <v>39964</v>
      </c>
      <c r="B66" s="79">
        <v>1248.008</v>
      </c>
      <c r="C66" s="79">
        <v>741.05799999999999</v>
      </c>
      <c r="D66" s="48">
        <f t="shared" si="0"/>
        <v>-1.0089408659124</v>
      </c>
      <c r="E66" s="48">
        <f t="shared" si="1"/>
        <v>-0.9025055930206638</v>
      </c>
      <c r="F66" s="48">
        <f t="shared" si="2"/>
        <v>0.10643527289173615</v>
      </c>
      <c r="G66" s="48">
        <f t="shared" si="3"/>
        <v>0</v>
      </c>
    </row>
    <row r="67" spans="1:7" x14ac:dyDescent="0.3">
      <c r="A67" s="78">
        <v>39994</v>
      </c>
      <c r="B67" s="79">
        <v>1245.548</v>
      </c>
      <c r="C67" s="79">
        <v>747.13199999999995</v>
      </c>
      <c r="D67" s="48">
        <f t="shared" si="0"/>
        <v>-0.19711412106332427</v>
      </c>
      <c r="E67" s="48">
        <f t="shared" si="1"/>
        <v>0.81963894863830156</v>
      </c>
      <c r="F67" s="48">
        <f t="shared" si="2"/>
        <v>1.0167530697016258</v>
      </c>
      <c r="G67" s="48">
        <f t="shared" si="3"/>
        <v>0</v>
      </c>
    </row>
    <row r="68" spans="1:7" x14ac:dyDescent="0.3">
      <c r="A68" s="78">
        <v>40025</v>
      </c>
      <c r="B68" s="79">
        <v>1250.5550000000001</v>
      </c>
      <c r="C68" s="79">
        <v>741.24300000000005</v>
      </c>
      <c r="D68" s="48">
        <f t="shared" si="0"/>
        <v>0.40199173375896624</v>
      </c>
      <c r="E68" s="48">
        <f t="shared" si="1"/>
        <v>-0.78821413083630665</v>
      </c>
      <c r="F68" s="48">
        <f t="shared" si="2"/>
        <v>-1.1902058645952729</v>
      </c>
      <c r="G68" s="48">
        <f t="shared" si="3"/>
        <v>1.1902058645952729</v>
      </c>
    </row>
    <row r="69" spans="1:7" x14ac:dyDescent="0.3">
      <c r="A69" s="78">
        <v>40056</v>
      </c>
      <c r="B69" s="79">
        <v>1262.1780000000001</v>
      </c>
      <c r="C69" s="79">
        <v>770.23099999999999</v>
      </c>
      <c r="D69" s="48">
        <f t="shared" si="0"/>
        <v>0.92942733426359947</v>
      </c>
      <c r="E69" s="48">
        <f t="shared" si="1"/>
        <v>3.9107283306553997</v>
      </c>
      <c r="F69" s="48">
        <f t="shared" si="2"/>
        <v>2.9813009963918002</v>
      </c>
      <c r="G69" s="48">
        <f t="shared" si="3"/>
        <v>0</v>
      </c>
    </row>
    <row r="70" spans="1:7" x14ac:dyDescent="0.3">
      <c r="A70" s="78">
        <v>40086</v>
      </c>
      <c r="B70" s="79">
        <v>1272.0999999999999</v>
      </c>
      <c r="C70" s="79">
        <v>771.68499999999995</v>
      </c>
      <c r="D70" s="48">
        <f t="shared" si="0"/>
        <v>0.78610148489355325</v>
      </c>
      <c r="E70" s="48">
        <f t="shared" si="1"/>
        <v>0.18877453647021536</v>
      </c>
      <c r="F70" s="48">
        <f t="shared" si="2"/>
        <v>-0.59732694842333789</v>
      </c>
      <c r="G70" s="48">
        <f t="shared" si="3"/>
        <v>0.59732694842333789</v>
      </c>
    </row>
    <row r="71" spans="1:7" x14ac:dyDescent="0.3">
      <c r="A71" s="78">
        <v>40117</v>
      </c>
      <c r="B71" s="79">
        <v>1271.3689999999999</v>
      </c>
      <c r="C71" s="79">
        <v>769.673</v>
      </c>
      <c r="D71" s="48">
        <f t="shared" si="0"/>
        <v>-5.7464035846233052E-2</v>
      </c>
      <c r="E71" s="48">
        <f t="shared" si="1"/>
        <v>-0.26072814684747758</v>
      </c>
      <c r="F71" s="48">
        <f t="shared" si="2"/>
        <v>-0.20326411100124453</v>
      </c>
      <c r="G71" s="48">
        <f t="shared" si="3"/>
        <v>0.20326411100124453</v>
      </c>
    </row>
    <row r="72" spans="1:7" x14ac:dyDescent="0.3">
      <c r="A72" s="78">
        <v>40147</v>
      </c>
      <c r="B72" s="79">
        <v>1289.318</v>
      </c>
      <c r="C72" s="79">
        <v>776.61</v>
      </c>
      <c r="D72" s="48">
        <f t="shared" si="0"/>
        <v>1.4117852488144678</v>
      </c>
      <c r="E72" s="48">
        <f t="shared" si="1"/>
        <v>0.9012918473169762</v>
      </c>
      <c r="F72" s="48">
        <f t="shared" si="2"/>
        <v>-0.51049340149749156</v>
      </c>
      <c r="G72" s="48">
        <f t="shared" si="3"/>
        <v>0.51049340149749156</v>
      </c>
    </row>
    <row r="73" spans="1:7" x14ac:dyDescent="0.3">
      <c r="A73" s="78">
        <v>40178</v>
      </c>
      <c r="B73" s="79">
        <v>1255.296</v>
      </c>
      <c r="C73" s="79">
        <v>754.596</v>
      </c>
      <c r="D73" s="48">
        <f t="shared" si="0"/>
        <v>-2.6387594061356379</v>
      </c>
      <c r="E73" s="48">
        <f t="shared" si="1"/>
        <v>-2.8346274191679233</v>
      </c>
      <c r="F73" s="48">
        <f t="shared" si="2"/>
        <v>-0.1958680130322854</v>
      </c>
      <c r="G73" s="48">
        <f t="shared" si="3"/>
        <v>0.1958680130322854</v>
      </c>
    </row>
    <row r="74" spans="1:7" x14ac:dyDescent="0.3">
      <c r="A74" s="78">
        <v>40209</v>
      </c>
      <c r="B74" s="79">
        <v>1275.1110000000001</v>
      </c>
      <c r="C74" s="79">
        <v>760.62199999999996</v>
      </c>
      <c r="D74" s="48">
        <f t="shared" ref="D74:D137" si="4">100*(B74/B73-1)</f>
        <v>1.5785121596818552</v>
      </c>
      <c r="E74" s="48">
        <f t="shared" ref="E74:E137" si="5">100*(C74/C73-1)</f>
        <v>0.79857301125370039</v>
      </c>
      <c r="F74" s="48">
        <f t="shared" si="2"/>
        <v>-0.77993914842815482</v>
      </c>
      <c r="G74" s="48">
        <f t="shared" ref="G74:G137" si="6">MAX(D74-E74,0)</f>
        <v>0.77993914842815482</v>
      </c>
    </row>
    <row r="75" spans="1:7" x14ac:dyDescent="0.3">
      <c r="A75" s="78">
        <v>40237</v>
      </c>
      <c r="B75" s="79">
        <v>1280.1420000000001</v>
      </c>
      <c r="C75" s="79">
        <v>757.62699999999995</v>
      </c>
      <c r="D75" s="48">
        <f t="shared" si="4"/>
        <v>0.39455388589699769</v>
      </c>
      <c r="E75" s="48">
        <f t="shared" si="5"/>
        <v>-0.39375668860485158</v>
      </c>
      <c r="F75" s="48">
        <f t="shared" ref="F75:F138" si="7">(E75-D75)</f>
        <v>-0.78831057450184927</v>
      </c>
      <c r="G75" s="48">
        <f t="shared" si="6"/>
        <v>0.78831057450184927</v>
      </c>
    </row>
    <row r="76" spans="1:7" x14ac:dyDescent="0.3">
      <c r="A76" s="78">
        <v>40268</v>
      </c>
      <c r="B76" s="79">
        <v>1269.2460000000001</v>
      </c>
      <c r="C76" s="79">
        <v>764.21500000000003</v>
      </c>
      <c r="D76" s="48">
        <f t="shared" si="4"/>
        <v>-0.85115557492840832</v>
      </c>
      <c r="E76" s="48">
        <f t="shared" si="5"/>
        <v>0.86955718315213648</v>
      </c>
      <c r="F76" s="48">
        <f t="shared" si="7"/>
        <v>1.7207127580805448</v>
      </c>
      <c r="G76" s="48">
        <f t="shared" si="6"/>
        <v>0</v>
      </c>
    </row>
    <row r="77" spans="1:7" x14ac:dyDescent="0.3">
      <c r="A77" s="78">
        <v>40298</v>
      </c>
      <c r="B77" s="79">
        <v>1282.6489999999999</v>
      </c>
      <c r="C77" s="79">
        <v>769.06600000000003</v>
      </c>
      <c r="D77" s="48">
        <f t="shared" si="4"/>
        <v>1.0559812676187219</v>
      </c>
      <c r="E77" s="48">
        <f t="shared" si="5"/>
        <v>0.63476901133843189</v>
      </c>
      <c r="F77" s="48">
        <f t="shared" si="7"/>
        <v>-0.42121225628029002</v>
      </c>
      <c r="G77" s="48">
        <f t="shared" si="6"/>
        <v>0.42121225628029002</v>
      </c>
    </row>
    <row r="78" spans="1:7" x14ac:dyDescent="0.3">
      <c r="A78" s="78">
        <v>40329</v>
      </c>
      <c r="B78" s="79">
        <v>1304.7270000000001</v>
      </c>
      <c r="C78" s="79">
        <v>787.73199999999997</v>
      </c>
      <c r="D78" s="48">
        <f t="shared" si="4"/>
        <v>1.721281504137151</v>
      </c>
      <c r="E78" s="48">
        <f t="shared" si="5"/>
        <v>2.4270998847953251</v>
      </c>
      <c r="F78" s="48">
        <f t="shared" si="7"/>
        <v>0.70581838065817415</v>
      </c>
      <c r="G78" s="48">
        <f t="shared" si="6"/>
        <v>0</v>
      </c>
    </row>
    <row r="79" spans="1:7" x14ac:dyDescent="0.3">
      <c r="A79" s="78">
        <v>40359</v>
      </c>
      <c r="B79" s="79">
        <v>1329.124</v>
      </c>
      <c r="C79" s="79">
        <v>800.28700000000003</v>
      </c>
      <c r="D79" s="48">
        <f t="shared" si="4"/>
        <v>1.8698930887457665</v>
      </c>
      <c r="E79" s="48">
        <f t="shared" si="5"/>
        <v>1.5938161709820209</v>
      </c>
      <c r="F79" s="48">
        <f t="shared" si="7"/>
        <v>-0.27607691776374566</v>
      </c>
      <c r="G79" s="48">
        <f t="shared" si="6"/>
        <v>0.27607691776374566</v>
      </c>
    </row>
    <row r="80" spans="1:7" x14ac:dyDescent="0.3">
      <c r="A80" s="78">
        <v>40390</v>
      </c>
      <c r="B80" s="79">
        <v>1338.107</v>
      </c>
      <c r="C80" s="79">
        <v>798.03800000000001</v>
      </c>
      <c r="D80" s="48">
        <f t="shared" si="4"/>
        <v>0.67585868587130005</v>
      </c>
      <c r="E80" s="48">
        <f t="shared" si="5"/>
        <v>-0.28102418257450745</v>
      </c>
      <c r="F80" s="48">
        <f t="shared" si="7"/>
        <v>-0.9568828684458075</v>
      </c>
      <c r="G80" s="48">
        <f t="shared" si="6"/>
        <v>0.9568828684458075</v>
      </c>
    </row>
    <row r="81" spans="1:7" x14ac:dyDescent="0.3">
      <c r="A81" s="78">
        <v>40421</v>
      </c>
      <c r="B81" s="79">
        <v>1365.5039999999999</v>
      </c>
      <c r="C81" s="79">
        <v>835.54300000000001</v>
      </c>
      <c r="D81" s="48">
        <f t="shared" si="4"/>
        <v>2.047444636340745</v>
      </c>
      <c r="E81" s="48">
        <f t="shared" si="5"/>
        <v>4.6996508938170756</v>
      </c>
      <c r="F81" s="48">
        <f t="shared" si="7"/>
        <v>2.6522062574763305</v>
      </c>
      <c r="G81" s="48">
        <f t="shared" si="6"/>
        <v>0</v>
      </c>
    </row>
    <row r="82" spans="1:7" x14ac:dyDescent="0.3">
      <c r="A82" s="78">
        <v>40451</v>
      </c>
      <c r="B82" s="79">
        <v>1365.54</v>
      </c>
      <c r="C82" s="79">
        <v>830.68600000000004</v>
      </c>
      <c r="D82" s="48">
        <f t="shared" si="4"/>
        <v>2.6363892013492318E-3</v>
      </c>
      <c r="E82" s="48">
        <f t="shared" si="5"/>
        <v>-0.58129862855651471</v>
      </c>
      <c r="F82" s="48">
        <f t="shared" si="7"/>
        <v>-0.58393501775786394</v>
      </c>
      <c r="G82" s="48">
        <f t="shared" si="6"/>
        <v>0.58393501775786394</v>
      </c>
    </row>
    <row r="83" spans="1:7" x14ac:dyDescent="0.3">
      <c r="A83" s="78">
        <v>40482</v>
      </c>
      <c r="B83" s="79">
        <v>1363.1030000000001</v>
      </c>
      <c r="C83" s="79">
        <v>818.82100000000003</v>
      </c>
      <c r="D83" s="48">
        <f t="shared" si="4"/>
        <v>-0.17846419731387675</v>
      </c>
      <c r="E83" s="48">
        <f t="shared" si="5"/>
        <v>-1.428337542705671</v>
      </c>
      <c r="F83" s="48">
        <f t="shared" si="7"/>
        <v>-1.2498733453917943</v>
      </c>
      <c r="G83" s="48">
        <f t="shared" si="6"/>
        <v>1.2498733453917943</v>
      </c>
    </row>
    <row r="84" spans="1:7" x14ac:dyDescent="0.3">
      <c r="A84" s="78">
        <v>40512</v>
      </c>
      <c r="B84" s="79">
        <v>1353.8140000000001</v>
      </c>
      <c r="C84" s="79">
        <v>813.54</v>
      </c>
      <c r="D84" s="48">
        <f t="shared" si="4"/>
        <v>-0.68145987500577432</v>
      </c>
      <c r="E84" s="48">
        <f t="shared" si="5"/>
        <v>-0.64495170495139087</v>
      </c>
      <c r="F84" s="48">
        <f t="shared" si="7"/>
        <v>3.6508170054383449E-2</v>
      </c>
      <c r="G84" s="48">
        <f t="shared" si="6"/>
        <v>0</v>
      </c>
    </row>
    <row r="85" spans="1:7" x14ac:dyDescent="0.3">
      <c r="A85" s="78">
        <v>40543</v>
      </c>
      <c r="B85" s="79">
        <v>1329.1110000000001</v>
      </c>
      <c r="C85" s="79">
        <v>811.93600000000004</v>
      </c>
      <c r="D85" s="48">
        <f t="shared" si="4"/>
        <v>-1.8246967456386209</v>
      </c>
      <c r="E85" s="48">
        <f t="shared" si="5"/>
        <v>-0.19716301595494867</v>
      </c>
      <c r="F85" s="48">
        <f t="shared" si="7"/>
        <v>1.6275337296836723</v>
      </c>
      <c r="G85" s="48">
        <f t="shared" si="6"/>
        <v>0</v>
      </c>
    </row>
    <row r="86" spans="1:7" x14ac:dyDescent="0.3">
      <c r="A86" s="78">
        <v>40574</v>
      </c>
      <c r="B86" s="79">
        <v>1329.1980000000001</v>
      </c>
      <c r="C86" s="79">
        <v>796.33399999999995</v>
      </c>
      <c r="D86" s="48">
        <f t="shared" si="4"/>
        <v>6.5457286863246367E-3</v>
      </c>
      <c r="E86" s="48">
        <f t="shared" si="5"/>
        <v>-1.9215800260119154</v>
      </c>
      <c r="F86" s="48">
        <f t="shared" si="7"/>
        <v>-1.92812575469824</v>
      </c>
      <c r="G86" s="48">
        <f t="shared" si="6"/>
        <v>1.92812575469824</v>
      </c>
    </row>
    <row r="87" spans="1:7" x14ac:dyDescent="0.3">
      <c r="A87" s="78">
        <v>40602</v>
      </c>
      <c r="B87" s="79">
        <v>1328.0650000000001</v>
      </c>
      <c r="C87" s="79">
        <v>802.52599999999995</v>
      </c>
      <c r="D87" s="48">
        <f t="shared" si="4"/>
        <v>-8.5239369905765194E-2</v>
      </c>
      <c r="E87" s="48">
        <f t="shared" si="5"/>
        <v>0.77756318328741081</v>
      </c>
      <c r="F87" s="48">
        <f t="shared" si="7"/>
        <v>0.862802553193176</v>
      </c>
      <c r="G87" s="48">
        <f t="shared" si="6"/>
        <v>0</v>
      </c>
    </row>
    <row r="88" spans="1:7" x14ac:dyDescent="0.3">
      <c r="A88" s="78">
        <v>40633</v>
      </c>
      <c r="B88" s="79">
        <v>1327.31</v>
      </c>
      <c r="C88" s="79">
        <v>805.57299999999998</v>
      </c>
      <c r="D88" s="48">
        <f t="shared" si="4"/>
        <v>-5.6849627089039512E-2</v>
      </c>
      <c r="E88" s="48">
        <f t="shared" si="5"/>
        <v>0.37967617248537699</v>
      </c>
      <c r="F88" s="48">
        <f t="shared" si="7"/>
        <v>0.43652579957441651</v>
      </c>
      <c r="G88" s="48">
        <f t="shared" si="6"/>
        <v>0</v>
      </c>
    </row>
    <row r="89" spans="1:7" x14ac:dyDescent="0.3">
      <c r="A89" s="78">
        <v>40663</v>
      </c>
      <c r="B89" s="79">
        <v>1342.6220000000001</v>
      </c>
      <c r="C89" s="79">
        <v>821.16800000000001</v>
      </c>
      <c r="D89" s="48">
        <f t="shared" si="4"/>
        <v>1.1536114396787589</v>
      </c>
      <c r="E89" s="48">
        <f t="shared" si="5"/>
        <v>1.9358891124702682</v>
      </c>
      <c r="F89" s="48">
        <f t="shared" si="7"/>
        <v>0.78227767279150928</v>
      </c>
      <c r="G89" s="48">
        <f t="shared" si="6"/>
        <v>0</v>
      </c>
    </row>
    <row r="90" spans="1:7" x14ac:dyDescent="0.3">
      <c r="A90" s="78">
        <v>40694</v>
      </c>
      <c r="B90" s="79">
        <v>1363.836</v>
      </c>
      <c r="C90" s="79">
        <v>831.80499999999995</v>
      </c>
      <c r="D90" s="48">
        <f t="shared" si="4"/>
        <v>1.580042632997225</v>
      </c>
      <c r="E90" s="48">
        <f t="shared" si="5"/>
        <v>1.2953500379946581</v>
      </c>
      <c r="F90" s="48">
        <f t="shared" si="7"/>
        <v>-0.28469259500256694</v>
      </c>
      <c r="G90" s="48">
        <f t="shared" si="6"/>
        <v>0.28469259500256694</v>
      </c>
    </row>
    <row r="91" spans="1:7" x14ac:dyDescent="0.3">
      <c r="A91" s="78">
        <v>40724</v>
      </c>
      <c r="B91" s="79">
        <v>1359.6489999999999</v>
      </c>
      <c r="C91" s="79">
        <v>826.37800000000004</v>
      </c>
      <c r="D91" s="48">
        <f t="shared" si="4"/>
        <v>-0.30700172161463035</v>
      </c>
      <c r="E91" s="48">
        <f t="shared" si="5"/>
        <v>-0.65243656866692534</v>
      </c>
      <c r="F91" s="48">
        <f t="shared" si="7"/>
        <v>-0.34543484705229499</v>
      </c>
      <c r="G91" s="48">
        <f t="shared" si="6"/>
        <v>0.34543484705229499</v>
      </c>
    </row>
    <row r="92" spans="1:7" x14ac:dyDescent="0.3">
      <c r="A92" s="78">
        <v>40755</v>
      </c>
      <c r="B92" s="79">
        <v>1384.473</v>
      </c>
      <c r="C92" s="79">
        <v>855.66200000000003</v>
      </c>
      <c r="D92" s="48">
        <f t="shared" si="4"/>
        <v>1.8257653261981588</v>
      </c>
      <c r="E92" s="48">
        <f t="shared" si="5"/>
        <v>3.5436567769228988</v>
      </c>
      <c r="F92" s="48">
        <f t="shared" si="7"/>
        <v>1.71789145072474</v>
      </c>
      <c r="G92" s="48">
        <f t="shared" si="6"/>
        <v>0</v>
      </c>
    </row>
    <row r="93" spans="1:7" x14ac:dyDescent="0.3">
      <c r="A93" s="78">
        <v>40786</v>
      </c>
      <c r="B93" s="79">
        <v>1423.2639999999999</v>
      </c>
      <c r="C93" s="79">
        <v>874.28899999999999</v>
      </c>
      <c r="D93" s="48">
        <f t="shared" si="4"/>
        <v>2.8018603468612291</v>
      </c>
      <c r="E93" s="48">
        <f t="shared" si="5"/>
        <v>2.1769109765304551</v>
      </c>
      <c r="F93" s="48">
        <f t="shared" si="7"/>
        <v>-0.62494937033077402</v>
      </c>
      <c r="G93" s="48">
        <f t="shared" si="6"/>
        <v>0.62494937033077402</v>
      </c>
    </row>
    <row r="94" spans="1:7" x14ac:dyDescent="0.3">
      <c r="A94" s="78">
        <v>40816</v>
      </c>
      <c r="B94" s="79">
        <v>1446.07</v>
      </c>
      <c r="C94" s="79">
        <v>899.80799999999999</v>
      </c>
      <c r="D94" s="48">
        <f t="shared" si="4"/>
        <v>1.602373136677393</v>
      </c>
      <c r="E94" s="48">
        <f t="shared" si="5"/>
        <v>2.9188288998260203</v>
      </c>
      <c r="F94" s="48">
        <f t="shared" si="7"/>
        <v>1.3164557631486273</v>
      </c>
      <c r="G94" s="48">
        <f t="shared" si="6"/>
        <v>0</v>
      </c>
    </row>
    <row r="95" spans="1:7" x14ac:dyDescent="0.3">
      <c r="A95" s="78">
        <v>40847</v>
      </c>
      <c r="B95" s="79">
        <v>1435.087</v>
      </c>
      <c r="C95" s="79">
        <v>910.20100000000002</v>
      </c>
      <c r="D95" s="48">
        <f t="shared" si="4"/>
        <v>-0.75950680119218905</v>
      </c>
      <c r="E95" s="48">
        <f t="shared" si="5"/>
        <v>1.1550241829368035</v>
      </c>
      <c r="F95" s="48">
        <f t="shared" si="7"/>
        <v>1.9145309841289926</v>
      </c>
      <c r="G95" s="48">
        <f t="shared" si="6"/>
        <v>0</v>
      </c>
    </row>
    <row r="96" spans="1:7" x14ac:dyDescent="0.3">
      <c r="A96" s="78">
        <v>40877</v>
      </c>
      <c r="B96" s="79">
        <v>1445.568</v>
      </c>
      <c r="C96" s="79">
        <v>933.38599999999997</v>
      </c>
      <c r="D96" s="48">
        <f t="shared" si="4"/>
        <v>0.73033899686918424</v>
      </c>
      <c r="E96" s="48">
        <f t="shared" si="5"/>
        <v>2.547239565766235</v>
      </c>
      <c r="F96" s="48">
        <f t="shared" si="7"/>
        <v>1.8169005688970508</v>
      </c>
      <c r="G96" s="48">
        <f t="shared" si="6"/>
        <v>0</v>
      </c>
    </row>
    <row r="97" spans="1:7" x14ac:dyDescent="0.3">
      <c r="A97" s="78">
        <v>40908</v>
      </c>
      <c r="B97" s="79">
        <v>1459.2380000000001</v>
      </c>
      <c r="C97" s="79">
        <v>949.27700000000004</v>
      </c>
      <c r="D97" s="48">
        <f t="shared" si="4"/>
        <v>0.94564904591136756</v>
      </c>
      <c r="E97" s="48">
        <f t="shared" si="5"/>
        <v>1.7025110725894743</v>
      </c>
      <c r="F97" s="48">
        <f t="shared" si="7"/>
        <v>0.75686202667810676</v>
      </c>
      <c r="G97" s="48">
        <f t="shared" si="6"/>
        <v>0</v>
      </c>
    </row>
    <row r="98" spans="1:7" x14ac:dyDescent="0.3">
      <c r="A98" s="78">
        <v>40939</v>
      </c>
      <c r="B98" s="79">
        <v>1465.818</v>
      </c>
      <c r="C98" s="79">
        <v>951.41300000000001</v>
      </c>
      <c r="D98" s="48">
        <f t="shared" si="4"/>
        <v>0.45092027482835917</v>
      </c>
      <c r="E98" s="48">
        <f t="shared" si="5"/>
        <v>0.22501335226703389</v>
      </c>
      <c r="F98" s="48">
        <f t="shared" si="7"/>
        <v>-0.22590692256132527</v>
      </c>
      <c r="G98" s="48">
        <f t="shared" si="6"/>
        <v>0.22590692256132527</v>
      </c>
    </row>
    <row r="99" spans="1:7" x14ac:dyDescent="0.3">
      <c r="A99" s="78">
        <v>40968</v>
      </c>
      <c r="B99" s="79">
        <v>1455.422</v>
      </c>
      <c r="C99" s="79">
        <v>938.87800000000004</v>
      </c>
      <c r="D99" s="48">
        <f t="shared" si="4"/>
        <v>-0.70922856725732508</v>
      </c>
      <c r="E99" s="48">
        <f t="shared" si="5"/>
        <v>-1.3175140554102183</v>
      </c>
      <c r="F99" s="48">
        <f t="shared" si="7"/>
        <v>-0.60828548815289318</v>
      </c>
      <c r="G99" s="48">
        <f t="shared" si="6"/>
        <v>0.60828548815289318</v>
      </c>
    </row>
    <row r="100" spans="1:7" x14ac:dyDescent="0.3">
      <c r="A100" s="78">
        <v>40999</v>
      </c>
      <c r="B100" s="79">
        <v>1440.3979999999999</v>
      </c>
      <c r="C100" s="79">
        <v>931.05200000000002</v>
      </c>
      <c r="D100" s="48">
        <f t="shared" si="4"/>
        <v>-1.0322779235163448</v>
      </c>
      <c r="E100" s="48">
        <f t="shared" si="5"/>
        <v>-0.83354812872385997</v>
      </c>
      <c r="F100" s="48">
        <f t="shared" si="7"/>
        <v>0.19872979479248487</v>
      </c>
      <c r="G100" s="48">
        <f t="shared" si="6"/>
        <v>0</v>
      </c>
    </row>
    <row r="101" spans="1:7" x14ac:dyDescent="0.3">
      <c r="A101" s="78">
        <v>41029</v>
      </c>
      <c r="B101" s="79">
        <v>1462.37</v>
      </c>
      <c r="C101" s="79">
        <v>936.12</v>
      </c>
      <c r="D101" s="48">
        <f t="shared" si="4"/>
        <v>1.5254117264811518</v>
      </c>
      <c r="E101" s="48">
        <f t="shared" si="5"/>
        <v>0.54433049926319033</v>
      </c>
      <c r="F101" s="48">
        <f t="shared" si="7"/>
        <v>-0.98108122721796143</v>
      </c>
      <c r="G101" s="48">
        <f t="shared" si="6"/>
        <v>0.98108122721796143</v>
      </c>
    </row>
    <row r="102" spans="1:7" x14ac:dyDescent="0.3">
      <c r="A102" s="78">
        <v>41060</v>
      </c>
      <c r="B102" s="79">
        <v>1489.1690000000001</v>
      </c>
      <c r="C102" s="79">
        <v>976.89400000000001</v>
      </c>
      <c r="D102" s="48">
        <f t="shared" si="4"/>
        <v>1.832573151801542</v>
      </c>
      <c r="E102" s="48">
        <f t="shared" si="5"/>
        <v>4.3556381660470933</v>
      </c>
      <c r="F102" s="48">
        <f t="shared" si="7"/>
        <v>2.5230650142455513</v>
      </c>
      <c r="G102" s="48">
        <f t="shared" si="6"/>
        <v>0</v>
      </c>
    </row>
    <row r="103" spans="1:7" x14ac:dyDescent="0.3">
      <c r="A103" s="78">
        <v>41090</v>
      </c>
      <c r="B103" s="79">
        <v>1483.549</v>
      </c>
      <c r="C103" s="79">
        <v>967.56799999999998</v>
      </c>
      <c r="D103" s="48">
        <f t="shared" si="4"/>
        <v>-0.3773916862357507</v>
      </c>
      <c r="E103" s="48">
        <f t="shared" si="5"/>
        <v>-0.95465833550006929</v>
      </c>
      <c r="F103" s="48">
        <f t="shared" si="7"/>
        <v>-0.57726664926431859</v>
      </c>
      <c r="G103" s="48">
        <f t="shared" si="6"/>
        <v>0.57726664926431859</v>
      </c>
    </row>
    <row r="104" spans="1:7" x14ac:dyDescent="0.3">
      <c r="A104" s="78">
        <v>41121</v>
      </c>
      <c r="B104" s="79">
        <v>1499.3779999999999</v>
      </c>
      <c r="C104" s="79">
        <v>988.12099999999998</v>
      </c>
      <c r="D104" s="48">
        <f t="shared" si="4"/>
        <v>1.0669684654837752</v>
      </c>
      <c r="E104" s="48">
        <f t="shared" si="5"/>
        <v>2.1241917880707062</v>
      </c>
      <c r="F104" s="48">
        <f t="shared" si="7"/>
        <v>1.057223322586931</v>
      </c>
      <c r="G104" s="48">
        <f t="shared" si="6"/>
        <v>0</v>
      </c>
    </row>
    <row r="105" spans="1:7" x14ac:dyDescent="0.3">
      <c r="A105" s="78">
        <v>41152</v>
      </c>
      <c r="B105" s="79">
        <v>1497.357</v>
      </c>
      <c r="C105" s="79">
        <v>986.28099999999995</v>
      </c>
      <c r="D105" s="48">
        <f t="shared" si="4"/>
        <v>-0.13478922593235243</v>
      </c>
      <c r="E105" s="48">
        <f t="shared" si="5"/>
        <v>-0.18621201249644503</v>
      </c>
      <c r="F105" s="48">
        <f t="shared" si="7"/>
        <v>-5.1422786564092604E-2</v>
      </c>
      <c r="G105" s="48">
        <f t="shared" si="6"/>
        <v>5.1422786564092604E-2</v>
      </c>
    </row>
    <row r="106" spans="1:7" x14ac:dyDescent="0.3">
      <c r="A106" s="78">
        <v>41182</v>
      </c>
      <c r="B106" s="79">
        <v>1492.2059999999999</v>
      </c>
      <c r="C106" s="79">
        <v>979.11699999999996</v>
      </c>
      <c r="D106" s="48">
        <f t="shared" si="4"/>
        <v>-0.34400613881659936</v>
      </c>
      <c r="E106" s="48">
        <f t="shared" si="5"/>
        <v>-0.72636500145495386</v>
      </c>
      <c r="F106" s="48">
        <f t="shared" si="7"/>
        <v>-0.3823588626383545</v>
      </c>
      <c r="G106" s="48">
        <f t="shared" si="6"/>
        <v>0.3823588626383545</v>
      </c>
    </row>
    <row r="107" spans="1:7" x14ac:dyDescent="0.3">
      <c r="A107" s="78">
        <v>41213</v>
      </c>
      <c r="B107" s="79">
        <v>1489.6220000000001</v>
      </c>
      <c r="C107" s="79">
        <v>972.18</v>
      </c>
      <c r="D107" s="48">
        <f t="shared" si="4"/>
        <v>-0.17316643948622756</v>
      </c>
      <c r="E107" s="48">
        <f t="shared" si="5"/>
        <v>-0.7084955117723446</v>
      </c>
      <c r="F107" s="48">
        <f t="shared" si="7"/>
        <v>-0.53532907228611704</v>
      </c>
      <c r="G107" s="48">
        <f t="shared" si="6"/>
        <v>0.53532907228611704</v>
      </c>
    </row>
    <row r="108" spans="1:7" x14ac:dyDescent="0.3">
      <c r="A108" s="78">
        <v>41243</v>
      </c>
      <c r="B108" s="79">
        <v>1498.192</v>
      </c>
      <c r="C108" s="79">
        <v>980.447</v>
      </c>
      <c r="D108" s="48">
        <f t="shared" si="4"/>
        <v>0.57531373731054547</v>
      </c>
      <c r="E108" s="48">
        <f t="shared" si="5"/>
        <v>0.85035692978667754</v>
      </c>
      <c r="F108" s="48">
        <f t="shared" si="7"/>
        <v>0.27504319247613207</v>
      </c>
      <c r="G108" s="48">
        <f t="shared" si="6"/>
        <v>0</v>
      </c>
    </row>
    <row r="109" spans="1:7" x14ac:dyDescent="0.3">
      <c r="A109" s="78">
        <v>41274</v>
      </c>
      <c r="B109" s="79">
        <v>1490.788</v>
      </c>
      <c r="C109" s="79">
        <v>975.88699999999994</v>
      </c>
      <c r="D109" s="48">
        <f t="shared" si="4"/>
        <v>-0.49419567051486313</v>
      </c>
      <c r="E109" s="48">
        <f t="shared" si="5"/>
        <v>-0.46509398264261703</v>
      </c>
      <c r="F109" s="48">
        <f t="shared" si="7"/>
        <v>2.9101687872246096E-2</v>
      </c>
      <c r="G109" s="48">
        <f t="shared" si="6"/>
        <v>0</v>
      </c>
    </row>
    <row r="110" spans="1:7" x14ac:dyDescent="0.3">
      <c r="A110" s="78">
        <v>41305</v>
      </c>
      <c r="B110" s="79">
        <v>1476.623</v>
      </c>
      <c r="C110" s="79">
        <v>955.86699999999996</v>
      </c>
      <c r="D110" s="48">
        <f t="shared" si="4"/>
        <v>-0.95016863564771903</v>
      </c>
      <c r="E110" s="48">
        <f t="shared" si="5"/>
        <v>-2.0514670243583555</v>
      </c>
      <c r="F110" s="48">
        <f t="shared" si="7"/>
        <v>-1.1012983887106365</v>
      </c>
      <c r="G110" s="48">
        <f t="shared" si="6"/>
        <v>1.1012983887106365</v>
      </c>
    </row>
    <row r="111" spans="1:7" x14ac:dyDescent="0.3">
      <c r="A111" s="78">
        <v>41333</v>
      </c>
      <c r="B111" s="79">
        <v>1485.3910000000001</v>
      </c>
      <c r="C111" s="79">
        <v>964.26199999999994</v>
      </c>
      <c r="D111" s="48">
        <f t="shared" si="4"/>
        <v>0.59378731064057</v>
      </c>
      <c r="E111" s="48">
        <f t="shared" si="5"/>
        <v>0.87826026005710656</v>
      </c>
      <c r="F111" s="48">
        <f t="shared" si="7"/>
        <v>0.28447294941653656</v>
      </c>
      <c r="G111" s="48">
        <f t="shared" si="6"/>
        <v>0</v>
      </c>
    </row>
    <row r="112" spans="1:7" x14ac:dyDescent="0.3">
      <c r="A112" s="78">
        <v>41364</v>
      </c>
      <c r="B112" s="79">
        <v>1486.9860000000001</v>
      </c>
      <c r="C112" s="79">
        <v>981.43100000000004</v>
      </c>
      <c r="D112" s="48">
        <f t="shared" si="4"/>
        <v>0.10737913451743797</v>
      </c>
      <c r="E112" s="48">
        <f t="shared" si="5"/>
        <v>1.7805326768036256</v>
      </c>
      <c r="F112" s="48">
        <f t="shared" si="7"/>
        <v>1.6731535422861876</v>
      </c>
      <c r="G112" s="48">
        <f t="shared" si="6"/>
        <v>0</v>
      </c>
    </row>
    <row r="113" spans="1:7" x14ac:dyDescent="0.3">
      <c r="A113" s="78">
        <v>41394</v>
      </c>
      <c r="B113" s="79">
        <v>1502.646</v>
      </c>
      <c r="C113" s="79">
        <v>992.81600000000003</v>
      </c>
      <c r="D113" s="48">
        <f t="shared" si="4"/>
        <v>1.0531370167573773</v>
      </c>
      <c r="E113" s="48">
        <f t="shared" si="5"/>
        <v>1.1600407975700833</v>
      </c>
      <c r="F113" s="48">
        <f t="shared" si="7"/>
        <v>0.10690378081270602</v>
      </c>
      <c r="G113" s="48">
        <f t="shared" si="6"/>
        <v>0</v>
      </c>
    </row>
    <row r="114" spans="1:7" x14ac:dyDescent="0.3">
      <c r="A114" s="78">
        <v>41425</v>
      </c>
      <c r="B114" s="79">
        <v>1472.37</v>
      </c>
      <c r="C114" s="79">
        <v>966.69</v>
      </c>
      <c r="D114" s="48">
        <f t="shared" si="4"/>
        <v>-2.0148458119876533</v>
      </c>
      <c r="E114" s="48">
        <f t="shared" si="5"/>
        <v>-2.6315047299801719</v>
      </c>
      <c r="F114" s="48">
        <f t="shared" si="7"/>
        <v>-0.6166589179925186</v>
      </c>
      <c r="G114" s="48">
        <f t="shared" si="6"/>
        <v>0.6166589179925186</v>
      </c>
    </row>
    <row r="115" spans="1:7" x14ac:dyDescent="0.3">
      <c r="A115" s="78">
        <v>41455</v>
      </c>
      <c r="B115" s="79">
        <v>1453.8910000000001</v>
      </c>
      <c r="C115" s="79">
        <v>943.51499999999999</v>
      </c>
      <c r="D115" s="48">
        <f t="shared" si="4"/>
        <v>-1.2550513797482843</v>
      </c>
      <c r="E115" s="48">
        <f t="shared" si="5"/>
        <v>-2.3973559258914534</v>
      </c>
      <c r="F115" s="48">
        <f t="shared" si="7"/>
        <v>-1.1423045461431691</v>
      </c>
      <c r="G115" s="48">
        <f t="shared" si="6"/>
        <v>1.1423045461431691</v>
      </c>
    </row>
    <row r="116" spans="1:7" x14ac:dyDescent="0.3">
      <c r="A116" s="78">
        <v>41486</v>
      </c>
      <c r="B116" s="79">
        <v>1451.0630000000001</v>
      </c>
      <c r="C116" s="79">
        <v>951.18499999999995</v>
      </c>
      <c r="D116" s="48">
        <f t="shared" si="4"/>
        <v>-0.19451251847627526</v>
      </c>
      <c r="E116" s="48">
        <f t="shared" si="5"/>
        <v>0.81291765366739988</v>
      </c>
      <c r="F116" s="48">
        <f t="shared" si="7"/>
        <v>1.0074301721436751</v>
      </c>
      <c r="G116" s="48">
        <f t="shared" si="6"/>
        <v>0</v>
      </c>
    </row>
    <row r="117" spans="1:7" x14ac:dyDescent="0.3">
      <c r="A117" s="78">
        <v>41517</v>
      </c>
      <c r="B117" s="79">
        <v>1443.242</v>
      </c>
      <c r="C117" s="79">
        <v>940.70299999999997</v>
      </c>
      <c r="D117" s="48">
        <f t="shared" si="4"/>
        <v>-0.53898417918450958</v>
      </c>
      <c r="E117" s="48">
        <f t="shared" si="5"/>
        <v>-1.1019938287504472</v>
      </c>
      <c r="F117" s="48">
        <f t="shared" si="7"/>
        <v>-0.56300964956593758</v>
      </c>
      <c r="G117" s="48">
        <f t="shared" si="6"/>
        <v>0.56300964956593758</v>
      </c>
    </row>
    <row r="118" spans="1:7" x14ac:dyDescent="0.3">
      <c r="A118" s="78">
        <v>41547</v>
      </c>
      <c r="B118" s="79">
        <v>1454.2639999999999</v>
      </c>
      <c r="C118" s="79">
        <v>948.29300000000001</v>
      </c>
      <c r="D118" s="48">
        <f t="shared" si="4"/>
        <v>0.76369728708005624</v>
      </c>
      <c r="E118" s="48">
        <f t="shared" si="5"/>
        <v>0.80684339265422178</v>
      </c>
      <c r="F118" s="48">
        <f t="shared" si="7"/>
        <v>4.3146105574165539E-2</v>
      </c>
      <c r="G118" s="48">
        <f t="shared" si="6"/>
        <v>0</v>
      </c>
    </row>
    <row r="119" spans="1:7" x14ac:dyDescent="0.3">
      <c r="A119" s="78">
        <v>41578</v>
      </c>
      <c r="B119" s="79">
        <v>1462.2339999999999</v>
      </c>
      <c r="C119" s="79">
        <v>954.89800000000002</v>
      </c>
      <c r="D119" s="48">
        <f t="shared" si="4"/>
        <v>0.54804354642623565</v>
      </c>
      <c r="E119" s="48">
        <f t="shared" si="5"/>
        <v>0.69651468480733669</v>
      </c>
      <c r="F119" s="48">
        <f t="shared" si="7"/>
        <v>0.14847113838110104</v>
      </c>
      <c r="G119" s="48">
        <f t="shared" si="6"/>
        <v>0</v>
      </c>
    </row>
    <row r="120" spans="1:7" x14ac:dyDescent="0.3">
      <c r="A120" s="78">
        <v>41608</v>
      </c>
      <c r="B120" s="79">
        <v>1455.9860000000001</v>
      </c>
      <c r="C120" s="79">
        <v>945.726</v>
      </c>
      <c r="D120" s="48">
        <f t="shared" si="4"/>
        <v>-0.42729139111795655</v>
      </c>
      <c r="E120" s="48">
        <f t="shared" si="5"/>
        <v>-0.96052143789180366</v>
      </c>
      <c r="F120" s="48">
        <f t="shared" si="7"/>
        <v>-0.53323004677384711</v>
      </c>
      <c r="G120" s="48">
        <f t="shared" si="6"/>
        <v>0.53323004677384711</v>
      </c>
    </row>
    <row r="121" spans="1:7" x14ac:dyDescent="0.3">
      <c r="A121" s="78">
        <v>41639</v>
      </c>
      <c r="B121" s="79">
        <v>1440.854</v>
      </c>
      <c r="C121" s="79">
        <v>934.39700000000005</v>
      </c>
      <c r="D121" s="48">
        <f t="shared" si="4"/>
        <v>-1.0392957075136766</v>
      </c>
      <c r="E121" s="48">
        <f t="shared" si="5"/>
        <v>-1.1979156753647358</v>
      </c>
      <c r="F121" s="48">
        <f t="shared" si="7"/>
        <v>-0.15861996785105914</v>
      </c>
      <c r="G121" s="48">
        <f t="shared" si="6"/>
        <v>0.15861996785105914</v>
      </c>
    </row>
    <row r="122" spans="1:7" x14ac:dyDescent="0.3">
      <c r="A122" s="78">
        <v>41670</v>
      </c>
      <c r="B122" s="79">
        <v>1463.8630000000001</v>
      </c>
      <c r="C122" s="79">
        <v>954.01199999999994</v>
      </c>
      <c r="D122" s="48">
        <f t="shared" si="4"/>
        <v>1.5969001717037301</v>
      </c>
      <c r="E122" s="48">
        <f t="shared" si="5"/>
        <v>2.0992147877187062</v>
      </c>
      <c r="F122" s="48">
        <f t="shared" si="7"/>
        <v>0.50231461601497607</v>
      </c>
      <c r="G122" s="48">
        <f t="shared" si="6"/>
        <v>0</v>
      </c>
    </row>
    <row r="123" spans="1:7" x14ac:dyDescent="0.3">
      <c r="A123" s="78">
        <v>41698</v>
      </c>
      <c r="B123" s="79">
        <v>1468.431</v>
      </c>
      <c r="C123" s="79">
        <v>955.42899999999997</v>
      </c>
      <c r="D123" s="48">
        <f t="shared" si="4"/>
        <v>0.31205105942291311</v>
      </c>
      <c r="E123" s="48">
        <f t="shared" si="5"/>
        <v>0.14853062644915038</v>
      </c>
      <c r="F123" s="48">
        <f t="shared" si="7"/>
        <v>-0.16352043297376273</v>
      </c>
      <c r="G123" s="48">
        <f t="shared" si="6"/>
        <v>0.16352043297376273</v>
      </c>
    </row>
    <row r="124" spans="1:7" x14ac:dyDescent="0.3">
      <c r="A124" s="78">
        <v>41729</v>
      </c>
      <c r="B124" s="79">
        <v>1464.2929999999999</v>
      </c>
      <c r="C124" s="79">
        <v>955.81100000000004</v>
      </c>
      <c r="D124" s="48">
        <f t="shared" si="4"/>
        <v>-0.2817973742041735</v>
      </c>
      <c r="E124" s="48">
        <f t="shared" si="5"/>
        <v>3.9982039481745169E-2</v>
      </c>
      <c r="F124" s="48">
        <f t="shared" si="7"/>
        <v>0.32177941368591867</v>
      </c>
      <c r="G124" s="48">
        <f t="shared" si="6"/>
        <v>0</v>
      </c>
    </row>
    <row r="125" spans="1:7" x14ac:dyDescent="0.3">
      <c r="A125" s="78">
        <v>41759</v>
      </c>
      <c r="B125" s="79">
        <v>1473.4349999999999</v>
      </c>
      <c r="C125" s="79">
        <v>962.84199999999998</v>
      </c>
      <c r="D125" s="48">
        <f t="shared" si="4"/>
        <v>0.62432860090160247</v>
      </c>
      <c r="E125" s="48">
        <f t="shared" si="5"/>
        <v>0.73560567936548082</v>
      </c>
      <c r="F125" s="48">
        <f t="shared" si="7"/>
        <v>0.11127707846387835</v>
      </c>
      <c r="G125" s="48">
        <f t="shared" si="6"/>
        <v>0</v>
      </c>
    </row>
    <row r="126" spans="1:7" x14ac:dyDescent="0.3">
      <c r="A126" s="78">
        <v>41790</v>
      </c>
      <c r="B126" s="79">
        <v>1489.508</v>
      </c>
      <c r="C126" s="79">
        <v>972.07899999999995</v>
      </c>
      <c r="D126" s="48">
        <f t="shared" si="4"/>
        <v>1.0908523280633409</v>
      </c>
      <c r="E126" s="48">
        <f t="shared" si="5"/>
        <v>0.95934743187355842</v>
      </c>
      <c r="F126" s="48">
        <f t="shared" si="7"/>
        <v>-0.13150489618978245</v>
      </c>
      <c r="G126" s="48">
        <f t="shared" si="6"/>
        <v>0.13150489618978245</v>
      </c>
    </row>
    <row r="127" spans="1:7" x14ac:dyDescent="0.3">
      <c r="A127" s="78">
        <v>41820</v>
      </c>
      <c r="B127" s="79">
        <v>1487.183</v>
      </c>
      <c r="C127" s="79">
        <v>966.678</v>
      </c>
      <c r="D127" s="48">
        <f t="shared" si="4"/>
        <v>-0.15609181018162444</v>
      </c>
      <c r="E127" s="48">
        <f t="shared" si="5"/>
        <v>-0.55561327834465768</v>
      </c>
      <c r="F127" s="48">
        <f t="shared" si="7"/>
        <v>-0.39952146816303324</v>
      </c>
      <c r="G127" s="48">
        <f t="shared" si="6"/>
        <v>0.39952146816303324</v>
      </c>
    </row>
    <row r="128" spans="1:7" x14ac:dyDescent="0.3">
      <c r="A128" s="78">
        <v>41851</v>
      </c>
      <c r="B128" s="79">
        <v>1484.9580000000001</v>
      </c>
      <c r="C128" s="79">
        <v>977.00900000000001</v>
      </c>
      <c r="D128" s="48">
        <f t="shared" si="4"/>
        <v>-0.14961171557231756</v>
      </c>
      <c r="E128" s="48">
        <f t="shared" si="5"/>
        <v>1.0687116082087389</v>
      </c>
      <c r="F128" s="48">
        <f t="shared" si="7"/>
        <v>1.2183233237810565</v>
      </c>
      <c r="G128" s="48">
        <f t="shared" si="6"/>
        <v>0</v>
      </c>
    </row>
    <row r="129" spans="1:7" x14ac:dyDescent="0.3">
      <c r="A129" s="78">
        <v>41882</v>
      </c>
      <c r="B129" s="79">
        <v>1503.038</v>
      </c>
      <c r="C129" s="79">
        <v>1011.419</v>
      </c>
      <c r="D129" s="48">
        <f t="shared" si="4"/>
        <v>1.2175428530638577</v>
      </c>
      <c r="E129" s="48">
        <f t="shared" si="5"/>
        <v>3.5219736972740279</v>
      </c>
      <c r="F129" s="48">
        <f t="shared" si="7"/>
        <v>2.3044308442101702</v>
      </c>
      <c r="G129" s="48">
        <f t="shared" si="6"/>
        <v>0</v>
      </c>
    </row>
    <row r="130" spans="1:7" x14ac:dyDescent="0.3">
      <c r="A130" s="78">
        <v>41912</v>
      </c>
      <c r="B130" s="79">
        <v>1493.5239999999999</v>
      </c>
      <c r="C130" s="79">
        <v>1004.67</v>
      </c>
      <c r="D130" s="48">
        <f t="shared" si="4"/>
        <v>-0.63298466173178358</v>
      </c>
      <c r="E130" s="48">
        <f t="shared" si="5"/>
        <v>-0.66728032595788633</v>
      </c>
      <c r="F130" s="48">
        <f t="shared" si="7"/>
        <v>-3.4295664226102751E-2</v>
      </c>
      <c r="G130" s="48">
        <f t="shared" si="6"/>
        <v>3.4295664226102751E-2</v>
      </c>
    </row>
    <row r="131" spans="1:7" x14ac:dyDescent="0.3">
      <c r="A131" s="78">
        <v>41943</v>
      </c>
      <c r="B131" s="79">
        <v>1509.7380000000001</v>
      </c>
      <c r="C131" s="79">
        <v>1018.623</v>
      </c>
      <c r="D131" s="48">
        <f t="shared" si="4"/>
        <v>1.0856203181201174</v>
      </c>
      <c r="E131" s="48">
        <f t="shared" si="5"/>
        <v>1.388814237510827</v>
      </c>
      <c r="F131" s="48">
        <f t="shared" si="7"/>
        <v>0.30319391939070961</v>
      </c>
      <c r="G131" s="48">
        <f t="shared" si="6"/>
        <v>0</v>
      </c>
    </row>
    <row r="132" spans="1:7" x14ac:dyDescent="0.3">
      <c r="A132" s="78">
        <v>41973</v>
      </c>
      <c r="B132" s="79">
        <v>1523.6559999999999</v>
      </c>
      <c r="C132" s="79">
        <v>1051.922</v>
      </c>
      <c r="D132" s="48">
        <f t="shared" si="4"/>
        <v>0.92188180995642632</v>
      </c>
      <c r="E132" s="48">
        <f t="shared" si="5"/>
        <v>3.269021021516294</v>
      </c>
      <c r="F132" s="48">
        <f t="shared" si="7"/>
        <v>2.3471392115598677</v>
      </c>
      <c r="G132" s="48">
        <f t="shared" si="6"/>
        <v>0</v>
      </c>
    </row>
    <row r="133" spans="1:7" x14ac:dyDescent="0.3">
      <c r="A133" s="78">
        <v>42004</v>
      </c>
      <c r="B133" s="79">
        <v>1527.596</v>
      </c>
      <c r="C133" s="79">
        <v>1071.559</v>
      </c>
      <c r="D133" s="48">
        <f t="shared" si="4"/>
        <v>0.25858855279670134</v>
      </c>
      <c r="E133" s="48">
        <f t="shared" si="5"/>
        <v>1.8667733919434992</v>
      </c>
      <c r="F133" s="48">
        <f t="shared" si="7"/>
        <v>1.6081848391467979</v>
      </c>
      <c r="G133" s="48">
        <f t="shared" si="6"/>
        <v>0</v>
      </c>
    </row>
    <row r="134" spans="1:7" x14ac:dyDescent="0.3">
      <c r="A134" s="78">
        <v>42035</v>
      </c>
      <c r="B134" s="79">
        <v>1571.633</v>
      </c>
      <c r="C134" s="79">
        <v>1123.4449999999999</v>
      </c>
      <c r="D134" s="48">
        <f t="shared" si="4"/>
        <v>2.8827648147808693</v>
      </c>
      <c r="E134" s="48">
        <f t="shared" si="5"/>
        <v>4.8421038878867062</v>
      </c>
      <c r="F134" s="48">
        <f t="shared" si="7"/>
        <v>1.9593390731058369</v>
      </c>
      <c r="G134" s="48">
        <f t="shared" si="6"/>
        <v>0</v>
      </c>
    </row>
    <row r="135" spans="1:7" x14ac:dyDescent="0.3">
      <c r="A135" s="78">
        <v>42063</v>
      </c>
      <c r="B135" s="79">
        <v>1544.1579999999999</v>
      </c>
      <c r="C135" s="79">
        <v>1073.3620000000001</v>
      </c>
      <c r="D135" s="48">
        <f t="shared" si="4"/>
        <v>-1.7481816683666107</v>
      </c>
      <c r="E135" s="48">
        <f t="shared" si="5"/>
        <v>-4.4579841469764787</v>
      </c>
      <c r="F135" s="48">
        <f t="shared" si="7"/>
        <v>-2.709802478609868</v>
      </c>
      <c r="G135" s="48">
        <f t="shared" si="6"/>
        <v>2.709802478609868</v>
      </c>
    </row>
    <row r="136" spans="1:7" x14ac:dyDescent="0.3">
      <c r="A136" s="78">
        <v>42094</v>
      </c>
      <c r="B136" s="79">
        <v>1554.3309999999999</v>
      </c>
      <c r="C136" s="79">
        <v>1096.2619999999999</v>
      </c>
      <c r="D136" s="48">
        <f t="shared" si="4"/>
        <v>0.65880564035545319</v>
      </c>
      <c r="E136" s="48">
        <f t="shared" si="5"/>
        <v>2.1334833914373519</v>
      </c>
      <c r="F136" s="48">
        <f t="shared" si="7"/>
        <v>1.4746777510818987</v>
      </c>
      <c r="G136" s="48">
        <f t="shared" si="6"/>
        <v>0</v>
      </c>
    </row>
    <row r="137" spans="1:7" x14ac:dyDescent="0.3">
      <c r="A137" s="78">
        <v>42124</v>
      </c>
      <c r="B137" s="79">
        <v>1544.722</v>
      </c>
      <c r="C137" s="79">
        <v>1071.5640000000001</v>
      </c>
      <c r="D137" s="48">
        <f t="shared" si="4"/>
        <v>-0.61820809081205574</v>
      </c>
      <c r="E137" s="48">
        <f t="shared" si="5"/>
        <v>-2.2529285882389338</v>
      </c>
      <c r="F137" s="48">
        <f t="shared" si="7"/>
        <v>-1.6347204974268781</v>
      </c>
      <c r="G137" s="48">
        <f t="shared" si="6"/>
        <v>1.6347204974268781</v>
      </c>
    </row>
    <row r="138" spans="1:7" x14ac:dyDescent="0.3">
      <c r="A138" s="78">
        <v>42155</v>
      </c>
      <c r="B138" s="79">
        <v>1541.11</v>
      </c>
      <c r="C138" s="79">
        <v>1076.25</v>
      </c>
      <c r="D138" s="48">
        <f t="shared" ref="D138:D201" si="8">100*(B138/B137-1)</f>
        <v>-0.23382848175917958</v>
      </c>
      <c r="E138" s="48">
        <f t="shared" ref="E138:E201" si="9">100*(C138/C137-1)</f>
        <v>0.43730472468279658</v>
      </c>
      <c r="F138" s="48">
        <f t="shared" si="7"/>
        <v>0.67113320644197616</v>
      </c>
      <c r="G138" s="48">
        <f t="shared" ref="G138:G201" si="10">MAX(D138-E138,0)</f>
        <v>0</v>
      </c>
    </row>
    <row r="139" spans="1:7" x14ac:dyDescent="0.3">
      <c r="A139" s="78">
        <v>42185</v>
      </c>
      <c r="B139" s="79">
        <v>1525.7570000000001</v>
      </c>
      <c r="C139" s="79">
        <v>1056.259</v>
      </c>
      <c r="D139" s="48">
        <f t="shared" si="8"/>
        <v>-0.9962299900720839</v>
      </c>
      <c r="E139" s="48">
        <f t="shared" si="9"/>
        <v>-1.8574680603948845</v>
      </c>
      <c r="F139" s="48">
        <f t="shared" ref="F139:F202" si="11">(E139-D139)</f>
        <v>-0.86123807032280064</v>
      </c>
      <c r="G139" s="48">
        <f t="shared" si="10"/>
        <v>0.86123807032280064</v>
      </c>
    </row>
    <row r="140" spans="1:7" x14ac:dyDescent="0.3">
      <c r="A140" s="78">
        <v>42216</v>
      </c>
      <c r="B140" s="79">
        <v>1540.0889999999999</v>
      </c>
      <c r="C140" s="79">
        <v>1073.83</v>
      </c>
      <c r="D140" s="48">
        <f t="shared" si="8"/>
        <v>0.93933699796231451</v>
      </c>
      <c r="E140" s="48">
        <f t="shared" si="9"/>
        <v>1.6635124529116307</v>
      </c>
      <c r="F140" s="48">
        <f t="shared" si="11"/>
        <v>0.72417545494931623</v>
      </c>
      <c r="G140" s="48">
        <f t="shared" si="10"/>
        <v>0</v>
      </c>
    </row>
    <row r="141" spans="1:7" x14ac:dyDescent="0.3">
      <c r="A141" s="78">
        <v>42247</v>
      </c>
      <c r="B141" s="79">
        <v>1540.9670000000001</v>
      </c>
      <c r="C141" s="79">
        <v>1077.05</v>
      </c>
      <c r="D141" s="48">
        <f t="shared" si="8"/>
        <v>5.7009692297005365E-2</v>
      </c>
      <c r="E141" s="48">
        <f t="shared" si="9"/>
        <v>0.29986124433103445</v>
      </c>
      <c r="F141" s="48">
        <f t="shared" si="11"/>
        <v>0.24285155203402908</v>
      </c>
      <c r="G141" s="48">
        <f t="shared" si="10"/>
        <v>0</v>
      </c>
    </row>
    <row r="142" spans="1:7" x14ac:dyDescent="0.3">
      <c r="A142" s="78">
        <v>42277</v>
      </c>
      <c r="B142" s="79">
        <v>1554.798</v>
      </c>
      <c r="C142" s="79">
        <v>1091.1020000000001</v>
      </c>
      <c r="D142" s="48">
        <f t="shared" si="8"/>
        <v>0.89755328959022496</v>
      </c>
      <c r="E142" s="48">
        <f t="shared" si="9"/>
        <v>1.30467480618357</v>
      </c>
      <c r="F142" s="48">
        <f t="shared" si="11"/>
        <v>0.40712151659334506</v>
      </c>
      <c r="G142" s="48">
        <f t="shared" si="10"/>
        <v>0</v>
      </c>
    </row>
    <row r="143" spans="1:7" x14ac:dyDescent="0.3">
      <c r="A143" s="78">
        <v>42308</v>
      </c>
      <c r="B143" s="79">
        <v>1549.2550000000001</v>
      </c>
      <c r="C143" s="79">
        <v>1078.0930000000001</v>
      </c>
      <c r="D143" s="48">
        <f t="shared" si="8"/>
        <v>-0.35650933433152288</v>
      </c>
      <c r="E143" s="48">
        <f t="shared" si="9"/>
        <v>-1.1922808316729316</v>
      </c>
      <c r="F143" s="48">
        <f t="shared" si="11"/>
        <v>-0.83577149734140876</v>
      </c>
      <c r="G143" s="48">
        <f t="shared" si="10"/>
        <v>0.83577149734140876</v>
      </c>
    </row>
    <row r="144" spans="1:7" x14ac:dyDescent="0.3">
      <c r="A144" s="78">
        <v>42338</v>
      </c>
      <c r="B144" s="79">
        <v>1542.7090000000001</v>
      </c>
      <c r="C144" s="79">
        <v>1088.6869999999999</v>
      </c>
      <c r="D144" s="48">
        <f t="shared" si="8"/>
        <v>-0.4225256655618348</v>
      </c>
      <c r="E144" s="48">
        <f t="shared" si="9"/>
        <v>0.98266105057724928</v>
      </c>
      <c r="F144" s="48">
        <f t="shared" si="11"/>
        <v>1.4051867161390841</v>
      </c>
      <c r="G144" s="48">
        <f t="shared" si="10"/>
        <v>0</v>
      </c>
    </row>
    <row r="145" spans="1:7" x14ac:dyDescent="0.3">
      <c r="A145" s="78">
        <v>42369</v>
      </c>
      <c r="B145" s="79">
        <v>1540.289</v>
      </c>
      <c r="C145" s="79">
        <v>1076.6220000000001</v>
      </c>
      <c r="D145" s="48">
        <f t="shared" si="8"/>
        <v>-0.15686691398054675</v>
      </c>
      <c r="E145" s="48">
        <f t="shared" si="9"/>
        <v>-1.1082156763146611</v>
      </c>
      <c r="F145" s="48">
        <f t="shared" si="11"/>
        <v>-0.95134876233411436</v>
      </c>
      <c r="G145" s="48">
        <f t="shared" si="10"/>
        <v>0.95134876233411436</v>
      </c>
    </row>
    <row r="146" spans="1:7" x14ac:dyDescent="0.3">
      <c r="A146" s="78">
        <v>42400</v>
      </c>
      <c r="B146" s="79">
        <v>1574.173</v>
      </c>
      <c r="C146" s="79">
        <v>1117.6079999999999</v>
      </c>
      <c r="D146" s="48">
        <f t="shared" si="8"/>
        <v>2.1998469118457598</v>
      </c>
      <c r="E146" s="48">
        <f t="shared" si="9"/>
        <v>3.806907159615891</v>
      </c>
      <c r="F146" s="48">
        <f t="shared" si="11"/>
        <v>1.6070602477701312</v>
      </c>
      <c r="G146" s="48">
        <f t="shared" si="10"/>
        <v>0</v>
      </c>
    </row>
    <row r="147" spans="1:7" x14ac:dyDescent="0.3">
      <c r="A147" s="78">
        <v>42429</v>
      </c>
      <c r="B147" s="79">
        <v>1589.664</v>
      </c>
      <c r="C147" s="79">
        <v>1133.9970000000001</v>
      </c>
      <c r="D147" s="48">
        <f t="shared" si="8"/>
        <v>0.98407227159911237</v>
      </c>
      <c r="E147" s="48">
        <f t="shared" si="9"/>
        <v>1.4664354585865569</v>
      </c>
      <c r="F147" s="48">
        <f t="shared" si="11"/>
        <v>0.48236318698744451</v>
      </c>
      <c r="G147" s="48">
        <f t="shared" si="10"/>
        <v>0</v>
      </c>
    </row>
    <row r="148" spans="1:7" x14ac:dyDescent="0.3">
      <c r="A148" s="78">
        <v>42460</v>
      </c>
      <c r="B148" s="79">
        <v>1591.874</v>
      </c>
      <c r="C148" s="79">
        <v>1132.4659999999999</v>
      </c>
      <c r="D148" s="48">
        <f t="shared" si="8"/>
        <v>0.13902308915594297</v>
      </c>
      <c r="E148" s="48">
        <f t="shared" si="9"/>
        <v>-0.13500917550929303</v>
      </c>
      <c r="F148" s="48">
        <f t="shared" si="11"/>
        <v>-0.274032264665236</v>
      </c>
      <c r="G148" s="48">
        <f t="shared" si="10"/>
        <v>0.274032264665236</v>
      </c>
    </row>
    <row r="149" spans="1:7" x14ac:dyDescent="0.3">
      <c r="A149" s="78">
        <v>42490</v>
      </c>
      <c r="B149" s="79">
        <v>1589.963</v>
      </c>
      <c r="C149" s="79">
        <v>1117.873</v>
      </c>
      <c r="D149" s="48">
        <f t="shared" si="8"/>
        <v>-0.12004718966450723</v>
      </c>
      <c r="E149" s="48">
        <f t="shared" si="9"/>
        <v>-1.2886038079730322</v>
      </c>
      <c r="F149" s="48">
        <f t="shared" si="11"/>
        <v>-1.168556618308525</v>
      </c>
      <c r="G149" s="48">
        <f t="shared" si="10"/>
        <v>1.168556618308525</v>
      </c>
    </row>
    <row r="150" spans="1:7" x14ac:dyDescent="0.3">
      <c r="A150" s="78">
        <v>42521</v>
      </c>
      <c r="B150" s="79">
        <v>1590.559</v>
      </c>
      <c r="C150" s="79">
        <v>1138.5909999999999</v>
      </c>
      <c r="D150" s="48">
        <f t="shared" si="8"/>
        <v>3.748514902548461E-2</v>
      </c>
      <c r="E150" s="48">
        <f t="shared" si="9"/>
        <v>1.8533411219342266</v>
      </c>
      <c r="F150" s="48">
        <f t="shared" si="11"/>
        <v>1.815855972908742</v>
      </c>
      <c r="G150" s="48">
        <f t="shared" si="10"/>
        <v>0</v>
      </c>
    </row>
    <row r="151" spans="1:7" x14ac:dyDescent="0.3">
      <c r="A151" s="78">
        <v>42551</v>
      </c>
      <c r="B151" s="79">
        <v>1627.5329999999999</v>
      </c>
      <c r="C151" s="79">
        <v>1205.8679999999999</v>
      </c>
      <c r="D151" s="48">
        <f t="shared" si="8"/>
        <v>2.3245915429732422</v>
      </c>
      <c r="E151" s="48">
        <f t="shared" si="9"/>
        <v>5.908794290487096</v>
      </c>
      <c r="F151" s="48">
        <f t="shared" si="11"/>
        <v>3.5842027475138538</v>
      </c>
      <c r="G151" s="48">
        <f t="shared" si="10"/>
        <v>0</v>
      </c>
    </row>
    <row r="152" spans="1:7" x14ac:dyDescent="0.3">
      <c r="A152" s="78">
        <v>42582</v>
      </c>
      <c r="B152" s="79">
        <v>1634.443</v>
      </c>
      <c r="C152" s="79">
        <v>1231.367</v>
      </c>
      <c r="D152" s="48">
        <f t="shared" si="8"/>
        <v>0.42456896419305057</v>
      </c>
      <c r="E152" s="48">
        <f t="shared" si="9"/>
        <v>2.1145763881287083</v>
      </c>
      <c r="F152" s="48">
        <f t="shared" si="11"/>
        <v>1.6900074239356577</v>
      </c>
      <c r="G152" s="48">
        <f t="shared" si="10"/>
        <v>0</v>
      </c>
    </row>
    <row r="153" spans="1:7" x14ac:dyDescent="0.3">
      <c r="A153" s="78">
        <v>42613</v>
      </c>
      <c r="B153" s="79">
        <v>1625.0830000000001</v>
      </c>
      <c r="C153" s="79">
        <v>1265.623</v>
      </c>
      <c r="D153" s="48">
        <f t="shared" si="8"/>
        <v>-0.57267215803793459</v>
      </c>
      <c r="E153" s="48">
        <f t="shared" si="9"/>
        <v>2.7819488422216931</v>
      </c>
      <c r="F153" s="48">
        <f t="shared" si="11"/>
        <v>3.3546210002596277</v>
      </c>
      <c r="G153" s="48">
        <f t="shared" si="10"/>
        <v>0</v>
      </c>
    </row>
    <row r="154" spans="1:7" x14ac:dyDescent="0.3">
      <c r="A154" s="78">
        <v>42643</v>
      </c>
      <c r="B154" s="79">
        <v>1622.095</v>
      </c>
      <c r="C154" s="79">
        <v>1235.364</v>
      </c>
      <c r="D154" s="48">
        <f t="shared" si="8"/>
        <v>-0.18386753168915249</v>
      </c>
      <c r="E154" s="48">
        <f t="shared" si="9"/>
        <v>-2.3908383460161553</v>
      </c>
      <c r="F154" s="48">
        <f t="shared" si="11"/>
        <v>-2.2069708143270028</v>
      </c>
      <c r="G154" s="48">
        <f t="shared" si="10"/>
        <v>2.2069708143270028</v>
      </c>
    </row>
    <row r="155" spans="1:7" x14ac:dyDescent="0.3">
      <c r="A155" s="78">
        <v>42674</v>
      </c>
      <c r="B155" s="79">
        <v>1603.42</v>
      </c>
      <c r="C155" s="79">
        <v>1184.941</v>
      </c>
      <c r="D155" s="48">
        <f t="shared" si="8"/>
        <v>-1.151288919576221</v>
      </c>
      <c r="E155" s="48">
        <f t="shared" si="9"/>
        <v>-4.0816310010652774</v>
      </c>
      <c r="F155" s="48">
        <f t="shared" si="11"/>
        <v>-2.9303420814890564</v>
      </c>
      <c r="G155" s="48">
        <f t="shared" si="10"/>
        <v>2.9303420814890564</v>
      </c>
    </row>
    <row r="156" spans="1:7" x14ac:dyDescent="0.3">
      <c r="A156" s="78">
        <v>42704</v>
      </c>
      <c r="B156" s="79">
        <v>1559.6320000000001</v>
      </c>
      <c r="C156" s="79">
        <v>1168.758</v>
      </c>
      <c r="D156" s="48">
        <f t="shared" si="8"/>
        <v>-2.7309126741589806</v>
      </c>
      <c r="E156" s="48">
        <f t="shared" si="9"/>
        <v>-1.3657220064121289</v>
      </c>
      <c r="F156" s="48">
        <f t="shared" si="11"/>
        <v>1.3651906677468517</v>
      </c>
      <c r="G156" s="48">
        <f t="shared" si="10"/>
        <v>0</v>
      </c>
    </row>
    <row r="157" spans="1:7" x14ac:dyDescent="0.3">
      <c r="A157" s="78">
        <v>42735</v>
      </c>
      <c r="B157" s="79">
        <v>1557.8440000000001</v>
      </c>
      <c r="C157" s="79">
        <v>1190.768</v>
      </c>
      <c r="D157" s="48">
        <f t="shared" si="8"/>
        <v>-0.11464242847030182</v>
      </c>
      <c r="E157" s="48">
        <f t="shared" si="9"/>
        <v>1.8831956658264648</v>
      </c>
      <c r="F157" s="48">
        <f t="shared" si="11"/>
        <v>1.9978380942967666</v>
      </c>
      <c r="G157" s="48">
        <f t="shared" si="10"/>
        <v>0</v>
      </c>
    </row>
    <row r="158" spans="1:7" x14ac:dyDescent="0.3">
      <c r="A158" s="78">
        <v>42766</v>
      </c>
      <c r="B158" s="79">
        <v>1561.3620000000001</v>
      </c>
      <c r="C158" s="79">
        <v>1169.088</v>
      </c>
      <c r="D158" s="48">
        <f t="shared" si="8"/>
        <v>0.22582492213598648</v>
      </c>
      <c r="E158" s="48">
        <f t="shared" si="9"/>
        <v>-1.8206737164586317</v>
      </c>
      <c r="F158" s="48">
        <f t="shared" si="11"/>
        <v>-2.0464986385946182</v>
      </c>
      <c r="G158" s="48">
        <f t="shared" si="10"/>
        <v>2.0464986385946182</v>
      </c>
    </row>
    <row r="159" spans="1:7" x14ac:dyDescent="0.3">
      <c r="A159" s="78">
        <v>42794</v>
      </c>
      <c r="B159" s="79">
        <v>1569.4359999999999</v>
      </c>
      <c r="C159" s="79">
        <v>1206.202</v>
      </c>
      <c r="D159" s="48">
        <f t="shared" si="8"/>
        <v>0.51711262346592068</v>
      </c>
      <c r="E159" s="48">
        <f t="shared" si="9"/>
        <v>3.1746113209613069</v>
      </c>
      <c r="F159" s="48">
        <f t="shared" si="11"/>
        <v>2.6574986974953863</v>
      </c>
      <c r="G159" s="48">
        <f t="shared" si="10"/>
        <v>0</v>
      </c>
    </row>
    <row r="160" spans="1:7" x14ac:dyDescent="0.3">
      <c r="A160" s="78">
        <v>42825</v>
      </c>
      <c r="B160" s="79">
        <v>1568.5150000000001</v>
      </c>
      <c r="C160" s="79">
        <v>1210.2239999999999</v>
      </c>
      <c r="D160" s="48">
        <f t="shared" si="8"/>
        <v>-5.8683501589096299E-2</v>
      </c>
      <c r="E160" s="48">
        <f t="shared" si="9"/>
        <v>0.33344332043885316</v>
      </c>
      <c r="F160" s="48">
        <f t="shared" si="11"/>
        <v>0.39212682202794946</v>
      </c>
      <c r="G160" s="48">
        <f t="shared" si="10"/>
        <v>0</v>
      </c>
    </row>
    <row r="161" spans="1:7" x14ac:dyDescent="0.3">
      <c r="A161" s="78">
        <v>42855</v>
      </c>
      <c r="B161" s="79">
        <v>1579.5</v>
      </c>
      <c r="C161" s="79">
        <v>1213.3499999999999</v>
      </c>
      <c r="D161" s="48">
        <f t="shared" si="8"/>
        <v>0.70034395590732323</v>
      </c>
      <c r="E161" s="48">
        <f t="shared" si="9"/>
        <v>0.25829929004879126</v>
      </c>
      <c r="F161" s="48">
        <f t="shared" si="11"/>
        <v>-0.44204466585853197</v>
      </c>
      <c r="G161" s="48">
        <f t="shared" si="10"/>
        <v>0.44204466585853197</v>
      </c>
    </row>
    <row r="162" spans="1:7" x14ac:dyDescent="0.3">
      <c r="A162" s="78">
        <v>42886</v>
      </c>
      <c r="B162" s="79">
        <v>1590.085</v>
      </c>
      <c r="C162" s="79">
        <v>1219.22</v>
      </c>
      <c r="D162" s="48">
        <f t="shared" si="8"/>
        <v>0.67014878125990496</v>
      </c>
      <c r="E162" s="48">
        <f t="shared" si="9"/>
        <v>0.48378456339885911</v>
      </c>
      <c r="F162" s="48">
        <f t="shared" si="11"/>
        <v>-0.18636421786104584</v>
      </c>
      <c r="G162" s="48">
        <f t="shared" si="10"/>
        <v>0.18636421786104584</v>
      </c>
    </row>
    <row r="163" spans="1:7" x14ac:dyDescent="0.3">
      <c r="A163" s="78">
        <v>42916</v>
      </c>
      <c r="B163" s="79">
        <v>1587.7</v>
      </c>
      <c r="C163" s="79">
        <v>1193.7449999999999</v>
      </c>
      <c r="D163" s="48">
        <f t="shared" si="8"/>
        <v>-0.14999198156073756</v>
      </c>
      <c r="E163" s="48">
        <f t="shared" si="9"/>
        <v>-2.0894506323715256</v>
      </c>
      <c r="F163" s="48">
        <f t="shared" si="11"/>
        <v>-1.9394586508107881</v>
      </c>
      <c r="G163" s="48">
        <f t="shared" si="10"/>
        <v>1.9394586508107881</v>
      </c>
    </row>
    <row r="164" spans="1:7" x14ac:dyDescent="0.3">
      <c r="A164" s="78">
        <v>42947</v>
      </c>
      <c r="B164" s="79">
        <v>1590.114</v>
      </c>
      <c r="C164" s="79">
        <v>1197.6179999999999</v>
      </c>
      <c r="D164" s="48">
        <f t="shared" si="8"/>
        <v>0.15204383699691792</v>
      </c>
      <c r="E164" s="48">
        <f t="shared" si="9"/>
        <v>0.32444114949172764</v>
      </c>
      <c r="F164" s="48">
        <f t="shared" si="11"/>
        <v>0.17239731249480972</v>
      </c>
      <c r="G164" s="48">
        <f t="shared" si="10"/>
        <v>0</v>
      </c>
    </row>
    <row r="165" spans="1:7" x14ac:dyDescent="0.3">
      <c r="A165" s="78">
        <v>42978</v>
      </c>
      <c r="B165" s="79">
        <v>1608.0930000000001</v>
      </c>
      <c r="C165" s="79">
        <v>1222.0530000000001</v>
      </c>
      <c r="D165" s="48">
        <f t="shared" si="8"/>
        <v>1.1306736498137848</v>
      </c>
      <c r="E165" s="48">
        <f t="shared" si="9"/>
        <v>2.0402999954910683</v>
      </c>
      <c r="F165" s="48">
        <f t="shared" si="11"/>
        <v>0.90962634567728351</v>
      </c>
      <c r="G165" s="48">
        <f t="shared" si="10"/>
        <v>0</v>
      </c>
    </row>
    <row r="166" spans="1:7" x14ac:dyDescent="0.3">
      <c r="A166" s="78">
        <v>43008</v>
      </c>
      <c r="B166" s="79">
        <v>1593.95</v>
      </c>
      <c r="C166" s="79">
        <v>1189.086</v>
      </c>
      <c r="D166" s="48">
        <f t="shared" si="8"/>
        <v>-0.87948893503050352</v>
      </c>
      <c r="E166" s="48">
        <f t="shared" si="9"/>
        <v>-2.6976735051589484</v>
      </c>
      <c r="F166" s="48">
        <f t="shared" si="11"/>
        <v>-1.8181845701284449</v>
      </c>
      <c r="G166" s="48">
        <f t="shared" si="10"/>
        <v>1.8181845701284449</v>
      </c>
    </row>
    <row r="167" spans="1:7" x14ac:dyDescent="0.3">
      <c r="A167" s="78">
        <v>43039</v>
      </c>
      <c r="B167" s="79">
        <v>1592.2</v>
      </c>
      <c r="C167" s="79">
        <v>1192.6389999999999</v>
      </c>
      <c r="D167" s="48">
        <f t="shared" si="8"/>
        <v>-0.10979014398193598</v>
      </c>
      <c r="E167" s="48">
        <f t="shared" si="9"/>
        <v>0.29880092777141432</v>
      </c>
      <c r="F167" s="48">
        <f t="shared" si="11"/>
        <v>0.4085910717533503</v>
      </c>
      <c r="G167" s="48">
        <f t="shared" si="10"/>
        <v>0</v>
      </c>
    </row>
    <row r="168" spans="1:7" x14ac:dyDescent="0.3">
      <c r="A168" s="78">
        <v>43069</v>
      </c>
      <c r="B168" s="79">
        <v>1590.269</v>
      </c>
      <c r="C168" s="79">
        <v>1196.086</v>
      </c>
      <c r="D168" s="48">
        <f t="shared" si="8"/>
        <v>-0.12127873382741239</v>
      </c>
      <c r="E168" s="48">
        <f t="shared" si="9"/>
        <v>0.28902291472945318</v>
      </c>
      <c r="F168" s="48">
        <f t="shared" si="11"/>
        <v>0.41030164855686557</v>
      </c>
      <c r="G168" s="48">
        <f t="shared" si="10"/>
        <v>0</v>
      </c>
    </row>
    <row r="169" spans="1:7" x14ac:dyDescent="0.3">
      <c r="A169" s="78">
        <v>43100</v>
      </c>
      <c r="B169" s="79">
        <v>1595.7729999999999</v>
      </c>
      <c r="C169" s="79">
        <v>1213.654</v>
      </c>
      <c r="D169" s="48">
        <f t="shared" si="8"/>
        <v>0.34610496714706507</v>
      </c>
      <c r="E169" s="48">
        <f t="shared" si="9"/>
        <v>1.4687907056850413</v>
      </c>
      <c r="F169" s="48">
        <f t="shared" si="11"/>
        <v>1.1226857385379763</v>
      </c>
      <c r="G169" s="48">
        <f t="shared" si="10"/>
        <v>0</v>
      </c>
    </row>
    <row r="170" spans="1:7" x14ac:dyDescent="0.3">
      <c r="A170" s="78">
        <v>43131</v>
      </c>
      <c r="B170" s="79">
        <v>1573.4970000000001</v>
      </c>
      <c r="C170" s="79">
        <v>1188.3040000000001</v>
      </c>
      <c r="D170" s="48">
        <f t="shared" si="8"/>
        <v>-1.3959378934221722</v>
      </c>
      <c r="E170" s="48">
        <f t="shared" si="9"/>
        <v>-2.0887336918100186</v>
      </c>
      <c r="F170" s="48">
        <f t="shared" si="11"/>
        <v>-0.69279579838784633</v>
      </c>
      <c r="G170" s="48">
        <f t="shared" si="10"/>
        <v>0.69279579838784633</v>
      </c>
    </row>
    <row r="171" spans="1:7" x14ac:dyDescent="0.3">
      <c r="A171" s="78">
        <v>43159</v>
      </c>
      <c r="B171" s="79">
        <v>1561.104</v>
      </c>
      <c r="C171" s="79">
        <v>1191.325</v>
      </c>
      <c r="D171" s="48">
        <f t="shared" si="8"/>
        <v>-0.78760874663250657</v>
      </c>
      <c r="E171" s="48">
        <f t="shared" si="9"/>
        <v>0.2542278743486559</v>
      </c>
      <c r="F171" s="48">
        <f t="shared" si="11"/>
        <v>1.0418366209811625</v>
      </c>
      <c r="G171" s="48">
        <f t="shared" si="10"/>
        <v>0</v>
      </c>
    </row>
    <row r="172" spans="1:7" x14ac:dyDescent="0.3">
      <c r="A172" s="78">
        <v>43190</v>
      </c>
      <c r="B172" s="79">
        <v>1576.5260000000001</v>
      </c>
      <c r="C172" s="79">
        <v>1215.982</v>
      </c>
      <c r="D172" s="48">
        <f t="shared" si="8"/>
        <v>0.98789062099642333</v>
      </c>
      <c r="E172" s="48">
        <f t="shared" si="9"/>
        <v>2.0697122951335745</v>
      </c>
      <c r="F172" s="48">
        <f t="shared" si="11"/>
        <v>1.0818216741371511</v>
      </c>
      <c r="G172" s="48">
        <f t="shared" si="10"/>
        <v>0</v>
      </c>
    </row>
    <row r="173" spans="1:7" x14ac:dyDescent="0.3">
      <c r="A173" s="78">
        <v>43220</v>
      </c>
      <c r="B173" s="79">
        <v>1563.5509999999999</v>
      </c>
      <c r="C173" s="79">
        <v>1203.23</v>
      </c>
      <c r="D173" s="48">
        <f t="shared" si="8"/>
        <v>-0.82301211651442108</v>
      </c>
      <c r="E173" s="48">
        <f t="shared" si="9"/>
        <v>-1.0486997340421134</v>
      </c>
      <c r="F173" s="48">
        <f t="shared" si="11"/>
        <v>-0.22568761752769229</v>
      </c>
      <c r="G173" s="48">
        <f t="shared" si="10"/>
        <v>0.22568761752769229</v>
      </c>
    </row>
    <row r="174" spans="1:7" x14ac:dyDescent="0.3">
      <c r="A174" s="78">
        <v>43251</v>
      </c>
      <c r="B174" s="79">
        <v>1577.751</v>
      </c>
      <c r="C174" s="79">
        <v>1225.029</v>
      </c>
      <c r="D174" s="48">
        <f t="shared" si="8"/>
        <v>0.90818911567323024</v>
      </c>
      <c r="E174" s="48">
        <f t="shared" si="9"/>
        <v>1.8117068224695165</v>
      </c>
      <c r="F174" s="48">
        <f t="shared" si="11"/>
        <v>0.90351770679628629</v>
      </c>
      <c r="G174" s="48">
        <f t="shared" si="10"/>
        <v>0</v>
      </c>
    </row>
    <row r="175" spans="1:7" x14ac:dyDescent="0.3">
      <c r="A175" s="78">
        <v>43281</v>
      </c>
      <c r="B175" s="79">
        <v>1578.2070000000001</v>
      </c>
      <c r="C175" s="79">
        <v>1217.6880000000001</v>
      </c>
      <c r="D175" s="48">
        <f t="shared" si="8"/>
        <v>2.8901898968847206E-2</v>
      </c>
      <c r="E175" s="48">
        <f t="shared" si="9"/>
        <v>-0.59925111976940615</v>
      </c>
      <c r="F175" s="48">
        <f t="shared" si="11"/>
        <v>-0.62815301873825335</v>
      </c>
      <c r="G175" s="48">
        <f t="shared" si="10"/>
        <v>0.62815301873825335</v>
      </c>
    </row>
    <row r="176" spans="1:7" x14ac:dyDescent="0.3">
      <c r="A176" s="78">
        <v>43312</v>
      </c>
      <c r="B176" s="79">
        <v>1571.0519999999999</v>
      </c>
      <c r="C176" s="79">
        <v>1213.528</v>
      </c>
      <c r="D176" s="48">
        <f t="shared" si="8"/>
        <v>-0.45336258171457811</v>
      </c>
      <c r="E176" s="48">
        <f t="shared" si="9"/>
        <v>-0.34163102535297307</v>
      </c>
      <c r="F176" s="48">
        <f t="shared" si="11"/>
        <v>0.11173155636160503</v>
      </c>
      <c r="G176" s="48">
        <f t="shared" si="10"/>
        <v>0</v>
      </c>
    </row>
    <row r="177" spans="1:7" x14ac:dyDescent="0.3">
      <c r="A177" s="78">
        <v>43343</v>
      </c>
      <c r="B177" s="79">
        <v>1583.3219999999999</v>
      </c>
      <c r="C177" s="79">
        <v>1215.296</v>
      </c>
      <c r="D177" s="48">
        <f t="shared" si="8"/>
        <v>0.78100533909761793</v>
      </c>
      <c r="E177" s="48">
        <f t="shared" si="9"/>
        <v>0.14569091112854871</v>
      </c>
      <c r="F177" s="48">
        <f t="shared" si="11"/>
        <v>-0.63531442796906923</v>
      </c>
      <c r="G177" s="48">
        <f t="shared" si="10"/>
        <v>0.63531442796906923</v>
      </c>
    </row>
    <row r="178" spans="1:7" x14ac:dyDescent="0.3">
      <c r="A178" s="78">
        <v>43373</v>
      </c>
      <c r="B178" s="79">
        <v>1567.837</v>
      </c>
      <c r="C178" s="79">
        <v>1195.7370000000001</v>
      </c>
      <c r="D178" s="48">
        <f t="shared" si="8"/>
        <v>-0.9780070004711594</v>
      </c>
      <c r="E178" s="48">
        <f t="shared" si="9"/>
        <v>-1.6094021538785586</v>
      </c>
      <c r="F178" s="48">
        <f t="shared" si="11"/>
        <v>-0.63139515340739916</v>
      </c>
      <c r="G178" s="48">
        <f t="shared" si="10"/>
        <v>0.63139515340739916</v>
      </c>
    </row>
    <row r="179" spans="1:7" x14ac:dyDescent="0.3">
      <c r="A179" s="78">
        <v>43404</v>
      </c>
      <c r="B179" s="79">
        <v>1559.5730000000001</v>
      </c>
      <c r="C179" s="79">
        <v>1207.501</v>
      </c>
      <c r="D179" s="48">
        <f t="shared" si="8"/>
        <v>-0.52709561006659689</v>
      </c>
      <c r="E179" s="48">
        <f t="shared" si="9"/>
        <v>0.98382838366630754</v>
      </c>
      <c r="F179" s="48">
        <f t="shared" si="11"/>
        <v>1.5109239937329044</v>
      </c>
      <c r="G179" s="48">
        <f t="shared" si="10"/>
        <v>0</v>
      </c>
    </row>
    <row r="180" spans="1:7" x14ac:dyDescent="0.3">
      <c r="A180" s="78">
        <v>43434</v>
      </c>
      <c r="B180" s="79">
        <v>1573.614</v>
      </c>
      <c r="C180" s="79">
        <v>1191.915</v>
      </c>
      <c r="D180" s="48">
        <f t="shared" si="8"/>
        <v>0.90031053371659731</v>
      </c>
      <c r="E180" s="48">
        <f t="shared" si="9"/>
        <v>-1.2907649765921514</v>
      </c>
      <c r="F180" s="48">
        <f t="shared" si="11"/>
        <v>-2.1910755103087487</v>
      </c>
      <c r="G180" s="48">
        <f t="shared" si="10"/>
        <v>2.1910755103087487</v>
      </c>
    </row>
    <row r="181" spans="1:7" x14ac:dyDescent="0.3">
      <c r="A181" s="78">
        <v>43465</v>
      </c>
      <c r="B181" s="79">
        <v>1608.5429999999999</v>
      </c>
      <c r="C181" s="79">
        <v>1220.0989999999999</v>
      </c>
      <c r="D181" s="48">
        <f t="shared" si="8"/>
        <v>2.219667593196295</v>
      </c>
      <c r="E181" s="48">
        <f t="shared" si="9"/>
        <v>2.3645981466799304</v>
      </c>
      <c r="F181" s="48">
        <f t="shared" si="11"/>
        <v>0.14493055348363537</v>
      </c>
      <c r="G181" s="48">
        <f t="shared" si="10"/>
        <v>0</v>
      </c>
    </row>
    <row r="182" spans="1:7" x14ac:dyDescent="0.3">
      <c r="A182" s="78">
        <v>43496</v>
      </c>
      <c r="B182" s="79">
        <v>1616.0540000000001</v>
      </c>
      <c r="C182" s="79">
        <v>1234.086</v>
      </c>
      <c r="D182" s="48">
        <f t="shared" si="8"/>
        <v>0.46694430922893382</v>
      </c>
      <c r="E182" s="48">
        <f t="shared" si="9"/>
        <v>1.1463823837245979</v>
      </c>
      <c r="F182" s="48">
        <f t="shared" si="11"/>
        <v>0.67943807449566407</v>
      </c>
      <c r="G182" s="48">
        <f t="shared" si="10"/>
        <v>0</v>
      </c>
    </row>
    <row r="183" spans="1:7" x14ac:dyDescent="0.3">
      <c r="A183" s="78">
        <v>43524</v>
      </c>
      <c r="B183" s="79">
        <v>1611.569</v>
      </c>
      <c r="C183" s="79">
        <v>1222.452</v>
      </c>
      <c r="D183" s="48">
        <f t="shared" si="8"/>
        <v>-0.27752785488605047</v>
      </c>
      <c r="E183" s="48">
        <f t="shared" si="9"/>
        <v>-0.94272198209849334</v>
      </c>
      <c r="F183" s="48">
        <f t="shared" si="11"/>
        <v>-0.66519412721244287</v>
      </c>
      <c r="G183" s="48">
        <f t="shared" si="10"/>
        <v>0.66519412721244287</v>
      </c>
    </row>
    <row r="184" spans="1:7" x14ac:dyDescent="0.3">
      <c r="A184" s="78">
        <v>43555</v>
      </c>
      <c r="B184" s="79">
        <v>1643.5930000000001</v>
      </c>
      <c r="C184" s="79">
        <v>1263.884</v>
      </c>
      <c r="D184" s="48">
        <f t="shared" si="8"/>
        <v>1.9871317951636103</v>
      </c>
      <c r="E184" s="48">
        <f t="shared" si="9"/>
        <v>3.3892537293897851</v>
      </c>
      <c r="F184" s="48">
        <f t="shared" si="11"/>
        <v>1.4021219342261748</v>
      </c>
      <c r="G184" s="48">
        <f t="shared" si="10"/>
        <v>0</v>
      </c>
    </row>
    <row r="185" spans="1:7" x14ac:dyDescent="0.3">
      <c r="A185" s="78">
        <v>43585</v>
      </c>
      <c r="B185" s="79">
        <v>1638.2750000000001</v>
      </c>
      <c r="C185" s="79">
        <v>1243.2</v>
      </c>
      <c r="D185" s="48">
        <f t="shared" si="8"/>
        <v>-0.3235594213409243</v>
      </c>
      <c r="E185" s="48">
        <f t="shared" si="9"/>
        <v>-1.6365425940988221</v>
      </c>
      <c r="F185" s="48">
        <f t="shared" si="11"/>
        <v>-1.3129831727578978</v>
      </c>
      <c r="G185" s="48">
        <f t="shared" si="10"/>
        <v>1.3129831727578978</v>
      </c>
    </row>
    <row r="186" spans="1:7" x14ac:dyDescent="0.3">
      <c r="A186" s="78">
        <v>43616</v>
      </c>
      <c r="B186" s="79">
        <v>1678.299</v>
      </c>
      <c r="C186" s="79">
        <v>1279.1089999999999</v>
      </c>
      <c r="D186" s="48">
        <f t="shared" si="8"/>
        <v>2.4430574842440933</v>
      </c>
      <c r="E186" s="48">
        <f t="shared" si="9"/>
        <v>2.8884330759330723</v>
      </c>
      <c r="F186" s="48">
        <f t="shared" si="11"/>
        <v>0.445375591688979</v>
      </c>
      <c r="G186" s="48">
        <f t="shared" si="10"/>
        <v>0</v>
      </c>
    </row>
    <row r="187" spans="1:7" x14ac:dyDescent="0.3">
      <c r="A187" s="78">
        <v>43646</v>
      </c>
      <c r="B187" s="79">
        <v>1693.874</v>
      </c>
      <c r="C187" s="79">
        <v>1281.424</v>
      </c>
      <c r="D187" s="48">
        <f t="shared" si="8"/>
        <v>0.92802295657687939</v>
      </c>
      <c r="E187" s="48">
        <f t="shared" si="9"/>
        <v>0.18098535777639757</v>
      </c>
      <c r="F187" s="48">
        <f t="shared" si="11"/>
        <v>-0.74703759880048182</v>
      </c>
      <c r="G187" s="48">
        <f t="shared" si="10"/>
        <v>0.74703759880048182</v>
      </c>
    </row>
    <row r="188" spans="1:7" x14ac:dyDescent="0.3">
      <c r="A188" s="78">
        <v>43677</v>
      </c>
      <c r="B188" s="79">
        <v>1692.09</v>
      </c>
      <c r="C188" s="79">
        <v>1309.394</v>
      </c>
      <c r="D188" s="48">
        <f t="shared" si="8"/>
        <v>-0.10532070272051275</v>
      </c>
      <c r="E188" s="48">
        <f t="shared" si="9"/>
        <v>2.1827279651387865</v>
      </c>
      <c r="F188" s="48">
        <f t="shared" si="11"/>
        <v>2.2880486678592993</v>
      </c>
      <c r="G188" s="48">
        <f t="shared" si="10"/>
        <v>0</v>
      </c>
    </row>
    <row r="189" spans="1:7" x14ac:dyDescent="0.3">
      <c r="A189" s="78">
        <v>43708</v>
      </c>
      <c r="B189" s="79">
        <v>1752.2190000000001</v>
      </c>
      <c r="C189" s="79">
        <v>1358.73</v>
      </c>
      <c r="D189" s="48">
        <f t="shared" si="8"/>
        <v>3.5535343864688151</v>
      </c>
      <c r="E189" s="48">
        <f t="shared" si="9"/>
        <v>3.7678498603170629</v>
      </c>
      <c r="F189" s="48">
        <f t="shared" si="11"/>
        <v>0.21431547384824778</v>
      </c>
      <c r="G189" s="48">
        <f t="shared" si="10"/>
        <v>0</v>
      </c>
    </row>
    <row r="190" spans="1:7" x14ac:dyDescent="0.3">
      <c r="A190" s="78">
        <v>43738</v>
      </c>
      <c r="B190" s="79">
        <v>1736.3889999999999</v>
      </c>
      <c r="C190" s="79">
        <v>1365.932</v>
      </c>
      <c r="D190" s="48">
        <f t="shared" si="8"/>
        <v>-0.90342588454982442</v>
      </c>
      <c r="E190" s="48">
        <f t="shared" si="9"/>
        <v>0.53005380023993798</v>
      </c>
      <c r="F190" s="48">
        <f t="shared" si="11"/>
        <v>1.4334796847897624</v>
      </c>
      <c r="G190" s="48">
        <f t="shared" si="10"/>
        <v>0</v>
      </c>
    </row>
    <row r="191" spans="1:7" x14ac:dyDescent="0.3">
      <c r="A191" s="78">
        <v>43769</v>
      </c>
      <c r="B191" s="79">
        <v>1736.922</v>
      </c>
      <c r="C191" s="79">
        <v>1339.569</v>
      </c>
      <c r="D191" s="48">
        <f t="shared" si="8"/>
        <v>3.0695886693599128E-2</v>
      </c>
      <c r="E191" s="48">
        <f t="shared" si="9"/>
        <v>-1.9300375128483704</v>
      </c>
      <c r="F191" s="48">
        <f t="shared" si="11"/>
        <v>-1.9607333995419696</v>
      </c>
      <c r="G191" s="48">
        <f t="shared" si="10"/>
        <v>1.9607333995419696</v>
      </c>
    </row>
    <row r="192" spans="1:7" x14ac:dyDescent="0.3">
      <c r="A192" s="78">
        <v>43799</v>
      </c>
      <c r="B192" s="79">
        <v>1731.579</v>
      </c>
      <c r="C192" s="79">
        <v>1328.155</v>
      </c>
      <c r="D192" s="48">
        <f t="shared" si="8"/>
        <v>-0.30761312252364226</v>
      </c>
      <c r="E192" s="48">
        <f t="shared" si="9"/>
        <v>-0.8520651045224259</v>
      </c>
      <c r="F192" s="48">
        <f t="shared" si="11"/>
        <v>-0.54445198199878364</v>
      </c>
      <c r="G192" s="48">
        <f t="shared" si="10"/>
        <v>0.54445198199878364</v>
      </c>
    </row>
    <row r="193" spans="1:7" x14ac:dyDescent="0.3">
      <c r="A193" s="78">
        <v>43830</v>
      </c>
      <c r="B193" s="79">
        <v>1720.9090000000001</v>
      </c>
      <c r="C193" s="79">
        <v>1309.223</v>
      </c>
      <c r="D193" s="48">
        <f t="shared" si="8"/>
        <v>-0.6162005891732214</v>
      </c>
      <c r="E193" s="48">
        <f t="shared" si="9"/>
        <v>-1.4254360372095154</v>
      </c>
      <c r="F193" s="48">
        <f t="shared" si="11"/>
        <v>-0.80923544803629399</v>
      </c>
      <c r="G193" s="48">
        <f t="shared" si="10"/>
        <v>0.80923544803629399</v>
      </c>
    </row>
    <row r="194" spans="1:7" x14ac:dyDescent="0.3">
      <c r="A194" s="78">
        <v>43861</v>
      </c>
      <c r="B194" s="79">
        <v>1765.039</v>
      </c>
      <c r="C194" s="79">
        <v>1358.45</v>
      </c>
      <c r="D194" s="48">
        <f t="shared" si="8"/>
        <v>2.5643424492520994</v>
      </c>
      <c r="E194" s="48">
        <f t="shared" si="9"/>
        <v>3.7600164372303402</v>
      </c>
      <c r="F194" s="48">
        <f t="shared" si="11"/>
        <v>1.1956739879782408</v>
      </c>
      <c r="G194" s="48">
        <f t="shared" si="10"/>
        <v>0</v>
      </c>
    </row>
    <row r="195" spans="1:7" x14ac:dyDescent="0.3">
      <c r="A195" s="78">
        <v>43890</v>
      </c>
      <c r="B195" s="79">
        <v>1813.192</v>
      </c>
      <c r="C195" s="79">
        <v>1376.7909999999999</v>
      </c>
      <c r="D195" s="48">
        <f t="shared" si="8"/>
        <v>2.7281550152716161</v>
      </c>
      <c r="E195" s="48">
        <f t="shared" si="9"/>
        <v>1.3501417056203779</v>
      </c>
      <c r="F195" s="48">
        <f t="shared" si="11"/>
        <v>-1.3780133096512381</v>
      </c>
      <c r="G195" s="48">
        <f t="shared" si="10"/>
        <v>1.3780133096512381</v>
      </c>
    </row>
    <row r="196" spans="1:7" x14ac:dyDescent="0.3">
      <c r="A196" s="78">
        <v>43921</v>
      </c>
      <c r="B196" s="79">
        <v>1872.3779999999999</v>
      </c>
      <c r="C196" s="79">
        <v>1398.501</v>
      </c>
      <c r="D196" s="48">
        <f t="shared" si="8"/>
        <v>3.2641882382009157</v>
      </c>
      <c r="E196" s="48">
        <f t="shared" si="9"/>
        <v>1.5768551653809526</v>
      </c>
      <c r="F196" s="48">
        <f t="shared" si="11"/>
        <v>-1.6873330728199631</v>
      </c>
      <c r="G196" s="48">
        <f t="shared" si="10"/>
        <v>1.6873330728199631</v>
      </c>
    </row>
    <row r="197" spans="1:7" x14ac:dyDescent="0.3">
      <c r="A197" s="78">
        <v>43951</v>
      </c>
      <c r="B197" s="79">
        <v>1879.9670000000001</v>
      </c>
      <c r="C197" s="79">
        <v>1443.0709999999999</v>
      </c>
      <c r="D197" s="48">
        <f t="shared" si="8"/>
        <v>0.40531345700494104</v>
      </c>
      <c r="E197" s="48">
        <f t="shared" si="9"/>
        <v>3.1869837776304699</v>
      </c>
      <c r="F197" s="48">
        <f t="shared" si="11"/>
        <v>2.7816703206255289</v>
      </c>
      <c r="G197" s="48">
        <f t="shared" si="10"/>
        <v>0</v>
      </c>
    </row>
    <row r="198" spans="1:7" x14ac:dyDescent="0.3">
      <c r="A198" s="78">
        <v>43982</v>
      </c>
      <c r="B198" s="79">
        <v>1874.175</v>
      </c>
      <c r="C198" s="79">
        <v>1443.39</v>
      </c>
      <c r="D198" s="48">
        <f t="shared" si="8"/>
        <v>-0.30809051435478629</v>
      </c>
      <c r="E198" s="48">
        <f t="shared" si="9"/>
        <v>2.2105634442115552E-2</v>
      </c>
      <c r="F198" s="48">
        <f t="shared" si="11"/>
        <v>0.33019614879690184</v>
      </c>
      <c r="G198" s="48">
        <f t="shared" si="10"/>
        <v>0</v>
      </c>
    </row>
    <row r="199" spans="1:7" x14ac:dyDescent="0.3">
      <c r="A199" s="78">
        <v>44012</v>
      </c>
      <c r="B199" s="79">
        <v>1876.212</v>
      </c>
      <c r="C199" s="79">
        <v>1434.78</v>
      </c>
      <c r="D199" s="48">
        <f t="shared" si="8"/>
        <v>0.10868782264197296</v>
      </c>
      <c r="E199" s="48">
        <f t="shared" si="9"/>
        <v>-0.59651237711222382</v>
      </c>
      <c r="F199" s="48">
        <f t="shared" si="11"/>
        <v>-0.70520019975419679</v>
      </c>
      <c r="G199" s="48">
        <f t="shared" si="10"/>
        <v>0.70520019975419679</v>
      </c>
    </row>
    <row r="200" spans="1:7" x14ac:dyDescent="0.3">
      <c r="A200" s="78">
        <v>44043</v>
      </c>
      <c r="B200" s="79">
        <v>1898.944</v>
      </c>
      <c r="C200" s="79">
        <v>1440.797</v>
      </c>
      <c r="D200" s="48">
        <f t="shared" si="8"/>
        <v>1.2115901614529578</v>
      </c>
      <c r="E200" s="48">
        <f t="shared" si="9"/>
        <v>0.41936742915289482</v>
      </c>
      <c r="F200" s="48">
        <f t="shared" si="11"/>
        <v>-0.79222273230006302</v>
      </c>
      <c r="G200" s="48">
        <f t="shared" si="10"/>
        <v>0.79222273230006302</v>
      </c>
    </row>
    <row r="201" spans="1:7" x14ac:dyDescent="0.3">
      <c r="A201" s="78">
        <v>44074</v>
      </c>
      <c r="B201" s="79">
        <v>1876.126</v>
      </c>
      <c r="C201" s="79">
        <v>1394.376</v>
      </c>
      <c r="D201" s="48">
        <f t="shared" si="8"/>
        <v>-1.2016152135081337</v>
      </c>
      <c r="E201" s="48">
        <f t="shared" si="9"/>
        <v>-3.2218973248833827</v>
      </c>
      <c r="F201" s="48">
        <f t="shared" si="11"/>
        <v>-2.0202821113752489</v>
      </c>
      <c r="G201" s="48">
        <f t="shared" si="10"/>
        <v>2.0202821113752489</v>
      </c>
    </row>
    <row r="202" spans="1:7" x14ac:dyDescent="0.3">
      <c r="A202" s="78">
        <v>44104</v>
      </c>
      <c r="B202" s="79">
        <v>1879.597</v>
      </c>
      <c r="C202" s="79">
        <v>1415.88</v>
      </c>
      <c r="D202" s="48">
        <f t="shared" ref="D202:D249" si="12">100*(B202/B201-1)</f>
        <v>0.18500889599100123</v>
      </c>
      <c r="E202" s="48">
        <f t="shared" ref="E202:E249" si="13">100*(C202/C201-1)</f>
        <v>1.5421952185063592</v>
      </c>
      <c r="F202" s="48">
        <f t="shared" si="11"/>
        <v>1.357186322515358</v>
      </c>
      <c r="G202" s="48">
        <f t="shared" ref="G202:G249" si="14">MAX(D202-E202,0)</f>
        <v>0</v>
      </c>
    </row>
    <row r="203" spans="1:7" x14ac:dyDescent="0.3">
      <c r="A203" s="78">
        <v>44135</v>
      </c>
      <c r="B203" s="79">
        <v>1860.62</v>
      </c>
      <c r="C203" s="79">
        <v>1407.942</v>
      </c>
      <c r="D203" s="48">
        <f t="shared" si="12"/>
        <v>-1.0096313199052798</v>
      </c>
      <c r="E203" s="48">
        <f t="shared" si="13"/>
        <v>-0.56064073226544942</v>
      </c>
      <c r="F203" s="48">
        <f t="shared" ref="F203:F249" si="15">(E203-D203)</f>
        <v>0.44899058763983035</v>
      </c>
      <c r="G203" s="48">
        <f t="shared" si="14"/>
        <v>0</v>
      </c>
    </row>
    <row r="204" spans="1:7" x14ac:dyDescent="0.3">
      <c r="A204" s="78">
        <v>44165</v>
      </c>
      <c r="B204" s="79">
        <v>1867.7070000000001</v>
      </c>
      <c r="C204" s="79">
        <v>1401.299</v>
      </c>
      <c r="D204" s="48">
        <f t="shared" si="12"/>
        <v>0.38089454052951943</v>
      </c>
      <c r="E204" s="48">
        <f t="shared" si="13"/>
        <v>-0.47182341318037224</v>
      </c>
      <c r="F204" s="48">
        <f t="shared" si="15"/>
        <v>-0.85271795370989167</v>
      </c>
      <c r="G204" s="48">
        <f t="shared" si="14"/>
        <v>0.85271795370989167</v>
      </c>
    </row>
    <row r="205" spans="1:7" x14ac:dyDescent="0.3">
      <c r="A205" s="78">
        <v>44196</v>
      </c>
      <c r="B205" s="79">
        <v>1862.4269999999999</v>
      </c>
      <c r="C205" s="79">
        <v>1424.96</v>
      </c>
      <c r="D205" s="48">
        <f t="shared" si="12"/>
        <v>-0.28269958831873554</v>
      </c>
      <c r="E205" s="48">
        <f t="shared" si="13"/>
        <v>1.6885047373901063</v>
      </c>
      <c r="F205" s="48">
        <f t="shared" si="15"/>
        <v>1.9712043257088419</v>
      </c>
      <c r="G205" s="48">
        <f t="shared" si="14"/>
        <v>0</v>
      </c>
    </row>
    <row r="206" spans="1:7" x14ac:dyDescent="0.3">
      <c r="A206" s="78">
        <v>44227</v>
      </c>
      <c r="B206" s="79">
        <v>1841.5139999999999</v>
      </c>
      <c r="C206" s="79">
        <v>1399.806</v>
      </c>
      <c r="D206" s="48">
        <f t="shared" si="12"/>
        <v>-1.1228896488291951</v>
      </c>
      <c r="E206" s="48">
        <f t="shared" si="13"/>
        <v>-1.7652425331237342</v>
      </c>
      <c r="F206" s="48">
        <f t="shared" si="15"/>
        <v>-0.64235288429453918</v>
      </c>
      <c r="G206" s="48">
        <f t="shared" si="14"/>
        <v>0.64235288429453918</v>
      </c>
    </row>
    <row r="207" spans="1:7" x14ac:dyDescent="0.3">
      <c r="A207" s="78">
        <v>44255</v>
      </c>
      <c r="B207" s="79">
        <v>1799.413</v>
      </c>
      <c r="C207" s="79">
        <v>1318.308</v>
      </c>
      <c r="D207" s="48">
        <f t="shared" si="12"/>
        <v>-2.2862166673725981</v>
      </c>
      <c r="E207" s="48">
        <f t="shared" si="13"/>
        <v>-5.8220924899593296</v>
      </c>
      <c r="F207" s="48">
        <f t="shared" si="15"/>
        <v>-3.5358758225867315</v>
      </c>
      <c r="G207" s="48">
        <f t="shared" si="14"/>
        <v>3.5358758225867315</v>
      </c>
    </row>
    <row r="208" spans="1:7" x14ac:dyDescent="0.3">
      <c r="A208" s="78">
        <v>44286</v>
      </c>
      <c r="B208" s="79">
        <v>1776.644</v>
      </c>
      <c r="C208" s="79">
        <v>1318.5239999999999</v>
      </c>
      <c r="D208" s="48">
        <f t="shared" si="12"/>
        <v>-1.2653570914514911</v>
      </c>
      <c r="E208" s="48">
        <f t="shared" si="13"/>
        <v>1.6384638491140358E-2</v>
      </c>
      <c r="F208" s="48">
        <f t="shared" si="15"/>
        <v>1.2817417299426315</v>
      </c>
      <c r="G208" s="48">
        <f t="shared" si="14"/>
        <v>0</v>
      </c>
    </row>
    <row r="209" spans="1:7" x14ac:dyDescent="0.3">
      <c r="A209" s="78">
        <v>44316</v>
      </c>
      <c r="B209" s="79">
        <v>1791.576</v>
      </c>
      <c r="C209" s="79">
        <v>1325.8240000000001</v>
      </c>
      <c r="D209" s="48">
        <f t="shared" si="12"/>
        <v>0.84046100400529955</v>
      </c>
      <c r="E209" s="48">
        <f t="shared" si="13"/>
        <v>0.55364938370481287</v>
      </c>
      <c r="F209" s="48">
        <f t="shared" si="15"/>
        <v>-0.28681162030048668</v>
      </c>
      <c r="G209" s="48">
        <f t="shared" si="14"/>
        <v>0.28681162030048668</v>
      </c>
    </row>
    <row r="210" spans="1:7" x14ac:dyDescent="0.3">
      <c r="A210" s="78">
        <v>44347</v>
      </c>
      <c r="B210" s="79">
        <v>1796.9090000000001</v>
      </c>
      <c r="C210" s="79">
        <v>1332.059</v>
      </c>
      <c r="D210" s="48">
        <f t="shared" si="12"/>
        <v>0.29767087748440169</v>
      </c>
      <c r="E210" s="48">
        <f t="shared" si="13"/>
        <v>0.47027358080709014</v>
      </c>
      <c r="F210" s="48">
        <f t="shared" si="15"/>
        <v>0.17260270332268846</v>
      </c>
      <c r="G210" s="48">
        <f t="shared" si="14"/>
        <v>0</v>
      </c>
    </row>
    <row r="211" spans="1:7" x14ac:dyDescent="0.3">
      <c r="A211" s="78">
        <v>44377</v>
      </c>
      <c r="B211" s="79">
        <v>1812.521</v>
      </c>
      <c r="C211" s="79">
        <v>1341.9949999999999</v>
      </c>
      <c r="D211" s="48">
        <f t="shared" si="12"/>
        <v>0.86882529944476428</v>
      </c>
      <c r="E211" s="48">
        <f t="shared" si="13"/>
        <v>0.74591290626015994</v>
      </c>
      <c r="F211" s="48">
        <f t="shared" si="15"/>
        <v>-0.12291239318460434</v>
      </c>
      <c r="G211" s="48">
        <f t="shared" si="14"/>
        <v>0.12291239318460434</v>
      </c>
    </row>
    <row r="212" spans="1:7" x14ac:dyDescent="0.3">
      <c r="A212" s="78">
        <v>44408</v>
      </c>
      <c r="B212" s="79">
        <v>1836.8</v>
      </c>
      <c r="C212" s="79">
        <v>1380.5039999999999</v>
      </c>
      <c r="D212" s="48">
        <f t="shared" si="12"/>
        <v>1.3395155145788706</v>
      </c>
      <c r="E212" s="48">
        <f t="shared" si="13"/>
        <v>2.869533791109502</v>
      </c>
      <c r="F212" s="48">
        <f t="shared" si="15"/>
        <v>1.5300182765306314</v>
      </c>
      <c r="G212" s="48">
        <f t="shared" si="14"/>
        <v>0</v>
      </c>
    </row>
    <row r="213" spans="1:7" x14ac:dyDescent="0.3">
      <c r="A213" s="78">
        <v>44439</v>
      </c>
      <c r="B213" s="79">
        <v>1833.933</v>
      </c>
      <c r="C213" s="79">
        <v>1368.7139999999999</v>
      </c>
      <c r="D213" s="48">
        <f t="shared" si="12"/>
        <v>-0.15608667247386521</v>
      </c>
      <c r="E213" s="48">
        <f t="shared" si="13"/>
        <v>-0.854035917317153</v>
      </c>
      <c r="F213" s="48">
        <f t="shared" si="15"/>
        <v>-0.6979492448432878</v>
      </c>
      <c r="G213" s="48">
        <f t="shared" si="14"/>
        <v>0.6979492448432878</v>
      </c>
    </row>
    <row r="214" spans="1:7" x14ac:dyDescent="0.3">
      <c r="A214" s="78">
        <v>44469</v>
      </c>
      <c r="B214" s="79">
        <v>1811.8989999999999</v>
      </c>
      <c r="C214" s="79">
        <v>1316.1479999999999</v>
      </c>
      <c r="D214" s="48">
        <f t="shared" si="12"/>
        <v>-1.2014615583012089</v>
      </c>
      <c r="E214" s="48">
        <f t="shared" si="13"/>
        <v>-3.8405393676107624</v>
      </c>
      <c r="F214" s="48">
        <f t="shared" si="15"/>
        <v>-2.6390778093095535</v>
      </c>
      <c r="G214" s="48">
        <f t="shared" si="14"/>
        <v>2.6390778093095535</v>
      </c>
    </row>
    <row r="215" spans="1:7" x14ac:dyDescent="0.3">
      <c r="A215" s="78">
        <v>44500</v>
      </c>
      <c r="B215" s="79">
        <v>1812.463</v>
      </c>
      <c r="C215" s="79">
        <v>1345.9090000000001</v>
      </c>
      <c r="D215" s="48">
        <f t="shared" si="12"/>
        <v>3.1127562849819768E-2</v>
      </c>
      <c r="E215" s="48">
        <f t="shared" si="13"/>
        <v>2.261219862811803</v>
      </c>
      <c r="F215" s="48">
        <f t="shared" si="15"/>
        <v>2.2300922999619832</v>
      </c>
      <c r="G215" s="48">
        <f t="shared" si="14"/>
        <v>0</v>
      </c>
    </row>
    <row r="216" spans="1:7" x14ac:dyDescent="0.3">
      <c r="A216" s="78">
        <v>44530</v>
      </c>
      <c r="B216" s="79">
        <v>1828.6030000000001</v>
      </c>
      <c r="C216" s="79">
        <v>1388.154</v>
      </c>
      <c r="D216" s="48">
        <f t="shared" si="12"/>
        <v>0.89050093712257361</v>
      </c>
      <c r="E216" s="48">
        <f t="shared" si="13"/>
        <v>3.1387708975866735</v>
      </c>
      <c r="F216" s="48">
        <f t="shared" si="15"/>
        <v>2.2482699604640999</v>
      </c>
      <c r="G216" s="48">
        <f t="shared" si="14"/>
        <v>0</v>
      </c>
    </row>
    <row r="217" spans="1:7" x14ac:dyDescent="0.3">
      <c r="A217" s="78">
        <v>44561</v>
      </c>
      <c r="B217" s="79">
        <v>1818.1790000000001</v>
      </c>
      <c r="C217" s="79">
        <v>1349.252</v>
      </c>
      <c r="D217" s="48">
        <f t="shared" si="12"/>
        <v>-0.57005265768458324</v>
      </c>
      <c r="E217" s="48">
        <f t="shared" si="13"/>
        <v>-2.8024268200790403</v>
      </c>
      <c r="F217" s="48">
        <f t="shared" si="15"/>
        <v>-2.2323741623944571</v>
      </c>
      <c r="G217" s="48">
        <f t="shared" si="14"/>
        <v>2.2323741623944571</v>
      </c>
    </row>
    <row r="218" spans="1:7" x14ac:dyDescent="0.3">
      <c r="A218" s="78">
        <v>44592</v>
      </c>
      <c r="B218" s="79">
        <v>1783.88</v>
      </c>
      <c r="C218" s="79">
        <v>1294.8520000000001</v>
      </c>
      <c r="D218" s="48">
        <f t="shared" si="12"/>
        <v>-1.8864479239942833</v>
      </c>
      <c r="E218" s="48">
        <f t="shared" si="13"/>
        <v>-4.0318635807098939</v>
      </c>
      <c r="F218" s="48">
        <f t="shared" si="15"/>
        <v>-2.1454156567156106</v>
      </c>
      <c r="G218" s="48">
        <f t="shared" si="14"/>
        <v>2.1454156567156106</v>
      </c>
    </row>
    <row r="219" spans="1:7" x14ac:dyDescent="0.3">
      <c r="A219" s="78">
        <v>44620</v>
      </c>
      <c r="B219" s="79">
        <v>1770.336</v>
      </c>
      <c r="C219" s="79">
        <v>1276.0920000000001</v>
      </c>
      <c r="D219" s="48">
        <f t="shared" si="12"/>
        <v>-0.75924389532928682</v>
      </c>
      <c r="E219" s="48">
        <f t="shared" si="13"/>
        <v>-1.4488142274174942</v>
      </c>
      <c r="F219" s="48">
        <f t="shared" si="15"/>
        <v>-0.68957033208820739</v>
      </c>
      <c r="G219" s="48">
        <f t="shared" si="14"/>
        <v>0.68957033208820739</v>
      </c>
    </row>
    <row r="220" spans="1:7" x14ac:dyDescent="0.3">
      <c r="A220" s="78">
        <v>44651</v>
      </c>
      <c r="B220" s="79">
        <v>1717.1289999999999</v>
      </c>
      <c r="C220" s="79">
        <v>1248.2339999999999</v>
      </c>
      <c r="D220" s="48">
        <f t="shared" si="12"/>
        <v>-3.0054746669558874</v>
      </c>
      <c r="E220" s="48">
        <f t="shared" si="13"/>
        <v>-2.1830714399902362</v>
      </c>
      <c r="F220" s="48">
        <f t="shared" si="15"/>
        <v>0.82240322696565116</v>
      </c>
      <c r="G220" s="48">
        <f t="shared" si="14"/>
        <v>0</v>
      </c>
    </row>
    <row r="221" spans="1:7" x14ac:dyDescent="0.3">
      <c r="A221" s="78">
        <v>44681</v>
      </c>
      <c r="B221" s="79">
        <v>1662.0409999999999</v>
      </c>
      <c r="C221" s="79">
        <v>1210.836</v>
      </c>
      <c r="D221" s="48">
        <f t="shared" si="12"/>
        <v>-3.2081456896948302</v>
      </c>
      <c r="E221" s="48">
        <f t="shared" si="13"/>
        <v>-2.9960728517249069</v>
      </c>
      <c r="F221" s="48">
        <f t="shared" si="15"/>
        <v>0.21207283796992327</v>
      </c>
      <c r="G221" s="48">
        <f t="shared" si="14"/>
        <v>0</v>
      </c>
    </row>
    <row r="222" spans="1:7" x14ac:dyDescent="0.3">
      <c r="A222" s="78">
        <v>44712</v>
      </c>
      <c r="B222" s="79">
        <v>1663.075</v>
      </c>
      <c r="C222" s="79">
        <v>1173.067</v>
      </c>
      <c r="D222" s="48">
        <f t="shared" si="12"/>
        <v>6.2212665030525471E-2</v>
      </c>
      <c r="E222" s="48">
        <f t="shared" si="13"/>
        <v>-3.1192498406059976</v>
      </c>
      <c r="F222" s="48">
        <f t="shared" si="15"/>
        <v>-3.1814625056365231</v>
      </c>
      <c r="G222" s="48">
        <f t="shared" si="14"/>
        <v>3.1814625056365231</v>
      </c>
    </row>
    <row r="223" spans="1:7" x14ac:dyDescent="0.3">
      <c r="A223" s="78">
        <v>44742</v>
      </c>
      <c r="B223" s="79">
        <v>1651.0350000000001</v>
      </c>
      <c r="C223" s="79">
        <v>1150.2539999999999</v>
      </c>
      <c r="D223" s="48">
        <f t="shared" si="12"/>
        <v>-0.72396013408896343</v>
      </c>
      <c r="E223" s="48">
        <f t="shared" si="13"/>
        <v>-1.9447312046115051</v>
      </c>
      <c r="F223" s="48">
        <f t="shared" si="15"/>
        <v>-1.2207710705225416</v>
      </c>
      <c r="G223" s="48">
        <f t="shared" si="14"/>
        <v>1.2207710705225416</v>
      </c>
    </row>
    <row r="224" spans="1:7" x14ac:dyDescent="0.3">
      <c r="A224" s="78">
        <v>44773</v>
      </c>
      <c r="B224" s="79">
        <v>1678.42</v>
      </c>
      <c r="C224" s="79">
        <v>1181.634</v>
      </c>
      <c r="D224" s="48">
        <f t="shared" si="12"/>
        <v>1.65865653968571</v>
      </c>
      <c r="E224" s="48">
        <f t="shared" si="13"/>
        <v>2.7280930994371788</v>
      </c>
      <c r="F224" s="48">
        <f t="shared" si="15"/>
        <v>1.0694365597514688</v>
      </c>
      <c r="G224" s="48">
        <f t="shared" si="14"/>
        <v>0</v>
      </c>
    </row>
    <row r="225" spans="1:7" x14ac:dyDescent="0.3">
      <c r="A225" s="78">
        <v>44804</v>
      </c>
      <c r="B225" s="79">
        <v>1634.4870000000001</v>
      </c>
      <c r="C225" s="79">
        <v>1086.06</v>
      </c>
      <c r="D225" s="48">
        <f t="shared" si="12"/>
        <v>-2.6175212402140158</v>
      </c>
      <c r="E225" s="48">
        <f t="shared" si="13"/>
        <v>-8.0882912983208044</v>
      </c>
      <c r="F225" s="48">
        <f t="shared" si="15"/>
        <v>-5.4707700581067886</v>
      </c>
      <c r="G225" s="48">
        <f t="shared" si="14"/>
        <v>5.4707700581067886</v>
      </c>
    </row>
    <row r="226" spans="1:7" x14ac:dyDescent="0.3">
      <c r="A226" s="78">
        <v>44834</v>
      </c>
      <c r="B226" s="79">
        <v>1573.1759999999999</v>
      </c>
      <c r="C226" s="79">
        <v>994.16899999999998</v>
      </c>
      <c r="D226" s="48">
        <f t="shared" si="12"/>
        <v>-3.7510852028801778</v>
      </c>
      <c r="E226" s="48">
        <f t="shared" si="13"/>
        <v>-8.4609505920483219</v>
      </c>
      <c r="F226" s="48">
        <f t="shared" si="15"/>
        <v>-4.7098653891681437</v>
      </c>
      <c r="G226" s="48">
        <f t="shared" si="14"/>
        <v>4.7098653891681437</v>
      </c>
    </row>
    <row r="227" spans="1:7" x14ac:dyDescent="0.3">
      <c r="A227" s="78">
        <v>44865</v>
      </c>
      <c r="B227" s="79">
        <v>1549.2329999999999</v>
      </c>
      <c r="C227" s="79">
        <v>1026.9649999999999</v>
      </c>
      <c r="D227" s="48">
        <f t="shared" si="12"/>
        <v>-1.5219530427619032</v>
      </c>
      <c r="E227" s="48">
        <f t="shared" si="13"/>
        <v>3.2988355098579669</v>
      </c>
      <c r="F227" s="48">
        <f t="shared" si="15"/>
        <v>4.8207885526198702</v>
      </c>
      <c r="G227" s="48">
        <f t="shared" si="14"/>
        <v>0</v>
      </c>
    </row>
    <row r="228" spans="1:7" x14ac:dyDescent="0.3">
      <c r="A228" s="78">
        <v>44895</v>
      </c>
      <c r="B228" s="79">
        <v>1592.807</v>
      </c>
      <c r="C228" s="79">
        <v>1057.8150000000001</v>
      </c>
      <c r="D228" s="48">
        <f t="shared" si="12"/>
        <v>2.8126175985148771</v>
      </c>
      <c r="E228" s="48">
        <f t="shared" si="13"/>
        <v>3.0039972150949668</v>
      </c>
      <c r="F228" s="48">
        <f t="shared" si="15"/>
        <v>0.19137961658008962</v>
      </c>
      <c r="G228" s="48">
        <f t="shared" si="14"/>
        <v>0</v>
      </c>
    </row>
    <row r="229" spans="1:7" x14ac:dyDescent="0.3">
      <c r="A229" s="78">
        <v>44926</v>
      </c>
      <c r="B229" s="79">
        <v>1584.4570000000001</v>
      </c>
      <c r="C229" s="79">
        <v>1011.116</v>
      </c>
      <c r="D229" s="48">
        <f t="shared" si="12"/>
        <v>-0.52423174935820605</v>
      </c>
      <c r="E229" s="48">
        <f t="shared" si="13"/>
        <v>-4.414666080552843</v>
      </c>
      <c r="F229" s="48">
        <f t="shared" si="15"/>
        <v>-3.890434331194637</v>
      </c>
      <c r="G229" s="48">
        <f t="shared" si="14"/>
        <v>3.890434331194637</v>
      </c>
    </row>
    <row r="230" spans="1:7" x14ac:dyDescent="0.3">
      <c r="A230" s="78">
        <v>44957</v>
      </c>
      <c r="B230" s="79">
        <v>1625.5609999999999</v>
      </c>
      <c r="C230" s="79">
        <v>1038.9590000000001</v>
      </c>
      <c r="D230" s="48">
        <f t="shared" si="12"/>
        <v>2.5942010417448813</v>
      </c>
      <c r="E230" s="48">
        <f t="shared" si="13"/>
        <v>2.7536899821583249</v>
      </c>
      <c r="F230" s="48">
        <f t="shared" si="15"/>
        <v>0.15948894041344364</v>
      </c>
      <c r="G230" s="48">
        <f t="shared" si="14"/>
        <v>0</v>
      </c>
    </row>
    <row r="231" spans="1:7" x14ac:dyDescent="0.3">
      <c r="A231" s="78">
        <v>44985</v>
      </c>
      <c r="B231" s="79">
        <v>1586.404</v>
      </c>
      <c r="C231" s="79">
        <v>1003.465</v>
      </c>
      <c r="D231" s="48">
        <f t="shared" si="12"/>
        <v>-2.4088299362497012</v>
      </c>
      <c r="E231" s="48">
        <f t="shared" si="13"/>
        <v>-3.4163042044970005</v>
      </c>
      <c r="F231" s="48">
        <f t="shared" si="15"/>
        <v>-1.0074742682472992</v>
      </c>
      <c r="G231" s="48">
        <f t="shared" si="14"/>
        <v>1.0074742682472992</v>
      </c>
    </row>
    <row r="232" spans="1:7" x14ac:dyDescent="0.3">
      <c r="A232" s="78">
        <v>45016</v>
      </c>
      <c r="B232" s="79">
        <v>1633.325</v>
      </c>
      <c r="C232" s="79">
        <v>1033.8579999999999</v>
      </c>
      <c r="D232" s="48">
        <f t="shared" si="12"/>
        <v>2.9576955176613406</v>
      </c>
      <c r="E232" s="48">
        <f t="shared" si="13"/>
        <v>3.0288051900165813</v>
      </c>
      <c r="F232" s="48">
        <f t="shared" si="15"/>
        <v>7.1109672355240683E-2</v>
      </c>
      <c r="G232" s="48">
        <f t="shared" si="14"/>
        <v>0</v>
      </c>
    </row>
    <row r="233" spans="1:7" x14ac:dyDescent="0.3">
      <c r="A233" s="78">
        <v>45046</v>
      </c>
      <c r="B233" s="79">
        <v>1642.258</v>
      </c>
      <c r="C233" s="79">
        <v>1015.381</v>
      </c>
      <c r="D233" s="48">
        <f t="shared" si="12"/>
        <v>0.54692115776100447</v>
      </c>
      <c r="E233" s="48">
        <f t="shared" si="13"/>
        <v>-1.7871893432173436</v>
      </c>
      <c r="F233" s="48">
        <f t="shared" si="15"/>
        <v>-2.334110500978348</v>
      </c>
      <c r="G233" s="48">
        <f t="shared" si="14"/>
        <v>2.334110500978348</v>
      </c>
    </row>
    <row r="234" spans="1:7" x14ac:dyDescent="0.3">
      <c r="A234" s="78">
        <v>45077</v>
      </c>
      <c r="B234" s="79">
        <v>1622.09</v>
      </c>
      <c r="C234" s="79">
        <v>976.87599999999998</v>
      </c>
      <c r="D234" s="48">
        <f t="shared" si="12"/>
        <v>-1.2280652613657628</v>
      </c>
      <c r="E234" s="48">
        <f t="shared" si="13"/>
        <v>-3.7921725933418138</v>
      </c>
      <c r="F234" s="48">
        <f t="shared" si="15"/>
        <v>-2.564107331976051</v>
      </c>
      <c r="G234" s="48">
        <f t="shared" si="14"/>
        <v>2.564107331976051</v>
      </c>
    </row>
    <row r="235" spans="1:7" x14ac:dyDescent="0.3">
      <c r="A235" s="78">
        <v>45107</v>
      </c>
      <c r="B235" s="79">
        <v>1610.326</v>
      </c>
      <c r="C235" s="79">
        <v>972.19899999999996</v>
      </c>
      <c r="D235" s="48">
        <f t="shared" si="12"/>
        <v>-0.72523719399045783</v>
      </c>
      <c r="E235" s="48">
        <f t="shared" si="13"/>
        <v>-0.47877110298544245</v>
      </c>
      <c r="F235" s="48">
        <f t="shared" si="15"/>
        <v>0.24646609100501538</v>
      </c>
      <c r="G235" s="48">
        <f t="shared" si="14"/>
        <v>0</v>
      </c>
    </row>
    <row r="236" spans="1:7" x14ac:dyDescent="0.3">
      <c r="A236" s="78">
        <v>45138</v>
      </c>
      <c r="B236" s="79">
        <v>1603.9459999999999</v>
      </c>
      <c r="C236" s="79">
        <v>980.08699999999999</v>
      </c>
      <c r="D236" s="48">
        <f t="shared" si="12"/>
        <v>-0.39619306898106554</v>
      </c>
      <c r="E236" s="48">
        <f t="shared" si="13"/>
        <v>0.81135652268722325</v>
      </c>
      <c r="F236" s="48">
        <f t="shared" si="15"/>
        <v>1.2075495916682888</v>
      </c>
      <c r="G236" s="48">
        <f t="shared" si="14"/>
        <v>0</v>
      </c>
    </row>
    <row r="237" spans="1:7" x14ac:dyDescent="0.3">
      <c r="A237" s="78">
        <v>45169</v>
      </c>
      <c r="B237" s="79">
        <v>1594.6089999999999</v>
      </c>
      <c r="C237" s="79">
        <v>975.03</v>
      </c>
      <c r="D237" s="48">
        <f t="shared" si="12"/>
        <v>-0.58212682970623097</v>
      </c>
      <c r="E237" s="48">
        <f t="shared" si="13"/>
        <v>-0.51597460225469849</v>
      </c>
      <c r="F237" s="48">
        <f t="shared" si="15"/>
        <v>6.6152227451532486E-2</v>
      </c>
      <c r="G237" s="48">
        <f t="shared" si="14"/>
        <v>0</v>
      </c>
    </row>
    <row r="238" spans="1:7" x14ac:dyDescent="0.3">
      <c r="A238" s="78">
        <v>45199</v>
      </c>
      <c r="B238" s="79">
        <v>1556.634</v>
      </c>
      <c r="C238" s="79">
        <v>964.75699999999995</v>
      </c>
      <c r="D238" s="48">
        <f t="shared" si="12"/>
        <v>-2.3814615369661118</v>
      </c>
      <c r="E238" s="48">
        <f t="shared" si="13"/>
        <v>-1.0536086069146577</v>
      </c>
      <c r="F238" s="48">
        <f t="shared" si="15"/>
        <v>1.3278529300514541</v>
      </c>
      <c r="G238" s="48">
        <f t="shared" si="14"/>
        <v>0</v>
      </c>
    </row>
    <row r="239" spans="1:7" x14ac:dyDescent="0.3">
      <c r="A239" s="78">
        <v>45230</v>
      </c>
      <c r="B239" s="79">
        <v>1536.0519999999999</v>
      </c>
      <c r="C239" s="79">
        <v>960.78700000000003</v>
      </c>
      <c r="D239" s="48">
        <f t="shared" si="12"/>
        <v>-1.3222119008064914</v>
      </c>
      <c r="E239" s="48">
        <f t="shared" si="13"/>
        <v>-0.41150258562517861</v>
      </c>
      <c r="F239" s="48">
        <f t="shared" si="15"/>
        <v>0.91070931518131282</v>
      </c>
      <c r="G239" s="48">
        <f t="shared" si="14"/>
        <v>0</v>
      </c>
    </row>
    <row r="240" spans="1:7" x14ac:dyDescent="0.3">
      <c r="A240" s="78">
        <v>45260</v>
      </c>
      <c r="B240" s="79">
        <v>1591.44</v>
      </c>
      <c r="C240" s="79">
        <v>990.79600000000005</v>
      </c>
      <c r="D240" s="48">
        <f t="shared" si="12"/>
        <v>3.6058675096936943</v>
      </c>
      <c r="E240" s="48">
        <f t="shared" si="13"/>
        <v>3.1233769815786516</v>
      </c>
      <c r="F240" s="48">
        <f t="shared" si="15"/>
        <v>-0.48249052811504267</v>
      </c>
      <c r="G240" s="48">
        <f t="shared" si="14"/>
        <v>0.48249052811504267</v>
      </c>
    </row>
    <row r="241" spans="1:7" x14ac:dyDescent="0.3">
      <c r="A241" s="78">
        <v>45291</v>
      </c>
      <c r="B241" s="79">
        <v>1645.721</v>
      </c>
      <c r="C241" s="79">
        <v>1048.0609999999999</v>
      </c>
      <c r="D241" s="48">
        <f t="shared" si="12"/>
        <v>3.4108103352938235</v>
      </c>
      <c r="E241" s="48">
        <f t="shared" si="13"/>
        <v>5.7796963249750588</v>
      </c>
      <c r="F241" s="48">
        <f t="shared" si="15"/>
        <v>2.3688859896812353</v>
      </c>
      <c r="G241" s="48">
        <f t="shared" si="14"/>
        <v>0</v>
      </c>
    </row>
    <row r="242" spans="1:7" x14ac:dyDescent="0.3">
      <c r="A242" s="78">
        <v>45322</v>
      </c>
      <c r="B242" s="79">
        <v>1642.829</v>
      </c>
      <c r="C242" s="79">
        <v>1022.8869999999999</v>
      </c>
      <c r="D242" s="48">
        <f t="shared" si="12"/>
        <v>-0.1757284497190037</v>
      </c>
      <c r="E242" s="48">
        <f t="shared" si="13"/>
        <v>-2.4019594279340639</v>
      </c>
      <c r="F242" s="48">
        <f t="shared" si="15"/>
        <v>-2.2262309782150602</v>
      </c>
      <c r="G242" s="48">
        <f t="shared" si="14"/>
        <v>2.2262309782150602</v>
      </c>
    </row>
    <row r="243" spans="1:7" x14ac:dyDescent="0.3">
      <c r="A243" s="78">
        <v>45351</v>
      </c>
      <c r="B243" s="79">
        <v>1620.577</v>
      </c>
      <c r="C243" s="79">
        <v>1010.38</v>
      </c>
      <c r="D243" s="48">
        <f t="shared" si="12"/>
        <v>-1.3544927682674235</v>
      </c>
      <c r="E243" s="48">
        <f t="shared" si="13"/>
        <v>-1.2227157056448945</v>
      </c>
      <c r="F243" s="48">
        <f t="shared" si="15"/>
        <v>0.13177706262252897</v>
      </c>
      <c r="G243" s="48">
        <f t="shared" si="14"/>
        <v>0</v>
      </c>
    </row>
    <row r="244" spans="1:7" x14ac:dyDescent="0.3">
      <c r="A244" s="78">
        <v>45382</v>
      </c>
      <c r="B244" s="79">
        <v>1630.2760000000001</v>
      </c>
      <c r="C244" s="79">
        <v>1028.6769999999999</v>
      </c>
      <c r="D244" s="48">
        <f t="shared" si="12"/>
        <v>0.59849053762950355</v>
      </c>
      <c r="E244" s="48">
        <f t="shared" si="13"/>
        <v>1.8109028286387163</v>
      </c>
      <c r="F244" s="48">
        <f t="shared" si="15"/>
        <v>1.2124122910092128</v>
      </c>
      <c r="G244" s="48">
        <f t="shared" si="14"/>
        <v>0</v>
      </c>
    </row>
    <row r="245" spans="1:7" x14ac:dyDescent="0.3">
      <c r="A245" s="78">
        <v>45412</v>
      </c>
      <c r="B245" s="79">
        <v>1591.7539999999999</v>
      </c>
      <c r="C245" s="79">
        <v>995.80700000000002</v>
      </c>
      <c r="D245" s="48">
        <f t="shared" si="12"/>
        <v>-2.3629127828662222</v>
      </c>
      <c r="E245" s="48">
        <f t="shared" si="13"/>
        <v>-3.1953664755797861</v>
      </c>
      <c r="F245" s="48">
        <f t="shared" si="15"/>
        <v>-0.83245369271356395</v>
      </c>
      <c r="G245" s="48">
        <f t="shared" si="14"/>
        <v>0.83245369271356395</v>
      </c>
    </row>
    <row r="246" spans="1:7" x14ac:dyDescent="0.3">
      <c r="A246" s="78">
        <v>45443</v>
      </c>
      <c r="B246" s="79">
        <v>1615.548</v>
      </c>
      <c r="C246" s="79">
        <v>1004.122</v>
      </c>
      <c r="D246" s="48">
        <f t="shared" si="12"/>
        <v>1.4948289748290211</v>
      </c>
      <c r="E246" s="48">
        <f t="shared" si="13"/>
        <v>0.83500115986330226</v>
      </c>
      <c r="F246" s="48">
        <f t="shared" si="15"/>
        <v>-0.65982781496571885</v>
      </c>
      <c r="G246" s="48">
        <f t="shared" si="14"/>
        <v>0.65982781496571885</v>
      </c>
    </row>
    <row r="247" spans="1:7" x14ac:dyDescent="0.3">
      <c r="A247" s="78">
        <v>45473</v>
      </c>
      <c r="B247" s="79">
        <v>1632.201</v>
      </c>
      <c r="C247" s="79">
        <v>1017.476</v>
      </c>
      <c r="D247" s="48">
        <f t="shared" si="12"/>
        <v>1.0307957423734804</v>
      </c>
      <c r="E247" s="48">
        <f t="shared" si="13"/>
        <v>1.3299180776837893</v>
      </c>
      <c r="F247" s="48">
        <f t="shared" si="15"/>
        <v>0.29912233531030896</v>
      </c>
      <c r="G247" s="48">
        <f t="shared" si="14"/>
        <v>0</v>
      </c>
    </row>
    <row r="248" spans="1:7" x14ac:dyDescent="0.3">
      <c r="A248" s="78">
        <v>45504</v>
      </c>
      <c r="B248" s="79">
        <v>1668.673</v>
      </c>
      <c r="C248" s="79">
        <v>1036.462</v>
      </c>
      <c r="D248" s="48">
        <f t="shared" si="12"/>
        <v>2.2345287130690394</v>
      </c>
      <c r="E248" s="48">
        <f t="shared" si="13"/>
        <v>1.8659899594683393</v>
      </c>
      <c r="F248" s="48">
        <f t="shared" si="15"/>
        <v>-0.3685387536007001</v>
      </c>
      <c r="G248" s="48">
        <f t="shared" si="14"/>
        <v>0.3685387536007001</v>
      </c>
    </row>
    <row r="249" spans="1:7" x14ac:dyDescent="0.3">
      <c r="A249" s="78">
        <v>45535</v>
      </c>
      <c r="B249" s="79">
        <v>1690.5119999999999</v>
      </c>
      <c r="C249" s="79">
        <v>1041.9670000000001</v>
      </c>
      <c r="D249" s="48">
        <f t="shared" si="12"/>
        <v>1.3087645092837219</v>
      </c>
      <c r="E249" s="48">
        <f t="shared" si="13"/>
        <v>0.53113379940605832</v>
      </c>
      <c r="F249" s="48">
        <f t="shared" si="15"/>
        <v>-0.77763070987766358</v>
      </c>
      <c r="G249" s="48">
        <f t="shared" si="14"/>
        <v>0.77763070987766358</v>
      </c>
    </row>
  </sheetData>
  <mergeCells count="2">
    <mergeCell ref="B7:C7"/>
    <mergeCell ref="D7:G7"/>
  </mergeCell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21</vt:i4>
      </vt:variant>
    </vt:vector>
  </HeadingPairs>
  <TitlesOfParts>
    <vt:vector size="26" baseType="lpstr">
      <vt:lpstr>Notes and disclaimer</vt:lpstr>
      <vt:lpstr>1</vt:lpstr>
      <vt:lpstr>2</vt:lpstr>
      <vt:lpstr>3</vt:lpstr>
      <vt:lpstr>4</vt:lpstr>
      <vt:lpstr>correl</vt:lpstr>
      <vt:lpstr>correl0.5</vt:lpstr>
      <vt:lpstr>'1'!CVaRA</vt:lpstr>
      <vt:lpstr>'2'!CVaRA</vt:lpstr>
      <vt:lpstr>'1'!CVaRB</vt:lpstr>
      <vt:lpstr>'2'!CVaRB</vt:lpstr>
      <vt:lpstr>'1'!muA</vt:lpstr>
      <vt:lpstr>'2'!muA</vt:lpstr>
      <vt:lpstr>'1'!muB</vt:lpstr>
      <vt:lpstr>'2'!muB</vt:lpstr>
      <vt:lpstr>'1'!sigmaA</vt:lpstr>
      <vt:lpstr>'2'!sigmaA</vt:lpstr>
      <vt:lpstr>'1'!sigmaB</vt:lpstr>
      <vt:lpstr>'2'!sigmaB</vt:lpstr>
      <vt:lpstr>SlideTwo</vt:lpstr>
      <vt:lpstr>'1'!VaR_Threshold</vt:lpstr>
      <vt:lpstr>'2'!VaR_Threshold</vt:lpstr>
      <vt:lpstr>'1'!VaRA</vt:lpstr>
      <vt:lpstr>'2'!VaRA</vt:lpstr>
      <vt:lpstr>'1'!VaRB</vt:lpstr>
      <vt:lpstr>'2'!VaRB</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Ramirez, Charlie (nee Nash)</dc:creator>
  <cp:lastModifiedBy>Charlie Nash</cp:lastModifiedBy>
  <dcterms:created xsi:type="dcterms:W3CDTF">2021-06-08T10:35:38Z</dcterms:created>
  <dcterms:modified xsi:type="dcterms:W3CDTF">2024-10-14T10:59:37Z</dcterms:modified>
</cp:coreProperties>
</file>
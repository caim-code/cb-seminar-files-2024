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6" codeName="{873B2839-AC87-7CC4-5C0F-16DCB9831742}"/>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4/2410 CB Seminar/new files/"/>
    </mc:Choice>
  </mc:AlternateContent>
  <xr:revisionPtr revIDLastSave="0" documentId="8_{2DDBDA67-D3AF-974A-91CA-668AEBD230E4}" xr6:coauthVersionLast="47" xr6:coauthVersionMax="47" xr10:uidLastSave="{00000000-0000-0000-0000-000000000000}"/>
  <bookViews>
    <workbookView xWindow="0" yWindow="760" windowWidth="28180" windowHeight="16320" xr2:uid="{00000000-000D-0000-FFFF-FFFF00000000}"/>
  </bookViews>
  <sheets>
    <sheet name="DISCLAIMER" sheetId="5" r:id="rId1"/>
    <sheet name="NS" sheetId="3" r:id="rId2"/>
    <sheet name="Bond 101" sheetId="6" r:id="rId3"/>
    <sheet name="Scenarios" sheetId="4" r:id="rId4"/>
    <sheet name="Boiler Room" sheetId="2" r:id="rId5"/>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Room'!$B$15</definedName>
    <definedName name="country_list">'Boiler Room'!$B$17:$B$21</definedName>
    <definedName name="current_forwards">'Boiler Room'!#REF!</definedName>
    <definedName name="current_forwards_live">#REF!</definedName>
    <definedName name="current_maturities">'Boiler Room'!$B$4:$B$12</definedName>
    <definedName name="current_rates">'Boiler Room'!$C$4:$G$12</definedName>
    <definedName name="current_rates_live">#REF!</definedName>
    <definedName name="horizon_months">Scenarios!#REF!</definedName>
    <definedName name="hump_choices">'Boiler Room'!$C$17:$C$23</definedName>
    <definedName name="hump_ix">'Boiler Room'!$C$15</definedName>
    <definedName name="hump_mat">'Boiler Room'!$C$16</definedName>
    <definedName name="lambda">NS!$I$6</definedName>
    <definedName name="lambdas">'Boiler Room'!$D$17:$D$23</definedName>
    <definedName name="ns_maturities">NS!$B$19:$B$139</definedName>
    <definedName name="ns_table">NS!$B$19:$C$139</definedName>
    <definedName name="ns_yields">NS!$C$19:$C$139</definedName>
    <definedName name="obs_date">'Boiler Room'!$B$2</definedName>
    <definedName name="scen_mat_a">Scenarios!$S$11</definedName>
    <definedName name="scen_mat_b">Scenarios!$S$13</definedName>
    <definedName name="solver_adj" localSheetId="1" hidden="1">NS!$I$3:$I$5</definedName>
    <definedName name="solver_adj" localSheetId="3" hidden="1">Scenarios!$L$4:$L$6</definedName>
    <definedName name="solver_cvg" localSheetId="1" hidden="1">0.0001</definedName>
    <definedName name="solver_cvg" localSheetId="3" hidden="1">0.0001</definedName>
    <definedName name="solver_drv" localSheetId="1" hidden="1">1</definedName>
    <definedName name="solver_drv" localSheetId="3" hidden="1">1</definedName>
    <definedName name="solver_eng" localSheetId="1" hidden="1">1</definedName>
    <definedName name="solver_eng" localSheetId="3" hidden="1">1</definedName>
    <definedName name="solver_itr" localSheetId="1" hidden="1">2147483647</definedName>
    <definedName name="solver_itr" localSheetId="3" hidden="1">2147483647</definedName>
    <definedName name="solver_lin" localSheetId="1" hidden="1">2</definedName>
    <definedName name="solver_lin" localSheetId="3" hidden="1">2</definedName>
    <definedName name="solver_mip" localSheetId="1" hidden="1">2147483647</definedName>
    <definedName name="solver_mip" localSheetId="3" hidden="1">2147483647</definedName>
    <definedName name="solver_mni" localSheetId="1" hidden="1">30</definedName>
    <definedName name="solver_mni" localSheetId="3" hidden="1">30</definedName>
    <definedName name="solver_mrt" localSheetId="1" hidden="1">0.075</definedName>
    <definedName name="solver_mrt" localSheetId="3" hidden="1">0.075</definedName>
    <definedName name="solver_msl" localSheetId="1" hidden="1">2</definedName>
    <definedName name="solver_msl" localSheetId="3" hidden="1">2</definedName>
    <definedName name="solver_neg" localSheetId="1" hidden="1">2</definedName>
    <definedName name="solver_neg" localSheetId="3" hidden="1">2</definedName>
    <definedName name="solver_nod" localSheetId="1" hidden="1">2147483647</definedName>
    <definedName name="solver_nod" localSheetId="3" hidden="1">2147483647</definedName>
    <definedName name="solver_num" localSheetId="1" hidden="1">0</definedName>
    <definedName name="solver_num" localSheetId="3" hidden="1">0</definedName>
    <definedName name="solver_opt" localSheetId="1" hidden="1">NS!$P$6</definedName>
    <definedName name="solver_opt" localSheetId="3" hidden="1">Scenarios!$S$7</definedName>
    <definedName name="solver_pre" localSheetId="1" hidden="1">0.000001</definedName>
    <definedName name="solver_pre" localSheetId="3" hidden="1">0.000001</definedName>
    <definedName name="solver_rbv" localSheetId="1" hidden="1">1</definedName>
    <definedName name="solver_rbv" localSheetId="3" hidden="1">1</definedName>
    <definedName name="solver_rlx" localSheetId="1" hidden="1">1</definedName>
    <definedName name="solver_rlx" localSheetId="3" hidden="1">2</definedName>
    <definedName name="solver_rsd" localSheetId="1" hidden="1">0</definedName>
    <definedName name="solver_rsd" localSheetId="3" hidden="1">0</definedName>
    <definedName name="solver_scl" localSheetId="1" hidden="1">2</definedName>
    <definedName name="solver_scl" localSheetId="3" hidden="1">1</definedName>
    <definedName name="solver_sho" localSheetId="1" hidden="1">2</definedName>
    <definedName name="solver_sho" localSheetId="3" hidden="1">2</definedName>
    <definedName name="solver_ssz" localSheetId="1" hidden="1">100</definedName>
    <definedName name="solver_ssz" localSheetId="3" hidden="1">100</definedName>
    <definedName name="solver_tim" localSheetId="1" hidden="1">2147483647</definedName>
    <definedName name="solver_tim" localSheetId="3" hidden="1">2147483647</definedName>
    <definedName name="solver_tol" localSheetId="1" hidden="1">0.01</definedName>
    <definedName name="solver_tol" localSheetId="3" hidden="1">0.01</definedName>
    <definedName name="solver_typ" localSheetId="1" hidden="1">2</definedName>
    <definedName name="solver_typ" localSheetId="3" hidden="1">2</definedName>
    <definedName name="solver_val" localSheetId="1" hidden="1">0</definedName>
    <definedName name="solver_val" localSheetId="3" hidden="1">0</definedName>
    <definedName name="solver_ver" localSheetId="1" hidden="1">2</definedName>
    <definedName name="solver_ver" localSheetId="3" hidden="1">2</definedName>
    <definedName name="ss_err_scen">Scenarios!$S$7</definedName>
    <definedName name="sumsq_err_ns">NS!$P$6</definedName>
    <definedName name="yields_used">NS!$F$7:$F$15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 i="3" l="1"/>
  <c r="K30" i="4"/>
  <c r="K31" i="4"/>
  <c r="K32" i="4"/>
  <c r="K34" i="4"/>
  <c r="K35" i="4"/>
  <c r="K36" i="4"/>
  <c r="K37" i="4"/>
  <c r="K29" i="4"/>
  <c r="K15" i="4"/>
  <c r="K16" i="4"/>
  <c r="K17" i="4"/>
  <c r="K18" i="4"/>
  <c r="K19" i="4"/>
  <c r="K20" i="4"/>
  <c r="K21" i="4"/>
  <c r="K22" i="4"/>
  <c r="K23" i="4"/>
  <c r="B17" i="2" a="1"/>
  <c r="B17" i="2" s="1"/>
  <c r="C3" i="3"/>
  <c r="C7" i="3" a="1"/>
  <c r="C7" i="3" s="1"/>
  <c r="J4" i="2" s="1"/>
  <c r="K4" i="2" s="1"/>
  <c r="B7" i="3" a="1"/>
  <c r="B7" i="3" s="1"/>
  <c r="J58" i="4"/>
  <c r="J59" i="4"/>
  <c r="K59" i="4" s="1"/>
  <c r="J60" i="4"/>
  <c r="K60" i="4" s="1"/>
  <c r="J61" i="4"/>
  <c r="K61" i="4" s="1"/>
  <c r="J62" i="4"/>
  <c r="K62" i="4" s="1"/>
  <c r="J63" i="4"/>
  <c r="K63" i="4" s="1"/>
  <c r="J64" i="4"/>
  <c r="K64" i="4" s="1"/>
  <c r="J65" i="4"/>
  <c r="K65" i="4" s="1"/>
  <c r="J66" i="4"/>
  <c r="K66" i="4" s="1"/>
  <c r="J67" i="4"/>
  <c r="K67" i="4" s="1"/>
  <c r="J68" i="4"/>
  <c r="K68" i="4" s="1"/>
  <c r="J69" i="4"/>
  <c r="K69" i="4" s="1"/>
  <c r="J57" i="4"/>
  <c r="K57" i="4" s="1"/>
  <c r="K58" i="4"/>
  <c r="J41" i="4"/>
  <c r="K41" i="4" s="1"/>
  <c r="J43" i="4"/>
  <c r="K43" i="4" s="1"/>
  <c r="J44" i="4"/>
  <c r="K44" i="4" s="1"/>
  <c r="J45" i="4"/>
  <c r="K45" i="4" s="1"/>
  <c r="J46" i="4"/>
  <c r="K46" i="4" s="1"/>
  <c r="J47" i="4"/>
  <c r="K47" i="4" s="1"/>
  <c r="J48" i="4"/>
  <c r="K48" i="4" s="1"/>
  <c r="J49" i="4"/>
  <c r="K49" i="4" s="1"/>
  <c r="J50" i="4"/>
  <c r="K50" i="4" s="1"/>
  <c r="J51" i="4"/>
  <c r="K51" i="4" s="1"/>
  <c r="J52" i="4"/>
  <c r="K52" i="4"/>
  <c r="J53" i="4"/>
  <c r="K53" i="4" s="1"/>
  <c r="K42" i="4"/>
  <c r="J42" i="4"/>
  <c r="C6" i="6"/>
  <c r="C7" i="6" s="1"/>
  <c r="B21" i="2" l="1"/>
  <c r="B19" i="2"/>
  <c r="B20" i="2"/>
  <c r="B18" i="2"/>
  <c r="C15" i="3"/>
  <c r="J12" i="2" s="1"/>
  <c r="K12" i="2" s="1"/>
  <c r="C14" i="3"/>
  <c r="J11" i="2" s="1"/>
  <c r="K11" i="2" s="1"/>
  <c r="C13" i="3"/>
  <c r="J10" i="2" s="1"/>
  <c r="K10" i="2" s="1"/>
  <c r="C12" i="3"/>
  <c r="J9" i="2" s="1"/>
  <c r="K9" i="2" s="1"/>
  <c r="C11" i="3"/>
  <c r="J8" i="2" s="1"/>
  <c r="K8" i="2" s="1"/>
  <c r="C10" i="3"/>
  <c r="J7" i="2" s="1"/>
  <c r="K7" i="2" s="1"/>
  <c r="C9" i="3"/>
  <c r="J6" i="2" s="1"/>
  <c r="K6" i="2" s="1"/>
  <c r="C8" i="3"/>
  <c r="J5" i="2" s="1"/>
  <c r="K5" i="2" s="1"/>
  <c r="B13" i="3"/>
  <c r="B12" i="3"/>
  <c r="B11" i="3"/>
  <c r="B10" i="3"/>
  <c r="B9" i="3"/>
  <c r="B8" i="3"/>
  <c r="B15" i="3"/>
  <c r="B14" i="3"/>
  <c r="D9" i="6"/>
  <c r="C9" i="6"/>
  <c r="C8" i="6"/>
  <c r="D12" i="6" s="1"/>
  <c r="M4" i="2" a="1"/>
  <c r="M123" i="2" s="1"/>
  <c r="D11" i="6" l="1"/>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6" i="2" a="1"/>
  <c r="D16" i="2" s="1"/>
  <c r="C16" i="2" a="1"/>
  <c r="C16" i="2" s="1"/>
  <c r="K8" i="4" s="1"/>
  <c r="B16" i="2" a="1"/>
  <c r="B16" i="2" s="1"/>
  <c r="K6" i="4"/>
  <c r="K5" i="4"/>
  <c r="K4" i="4"/>
  <c r="I6" i="3" a="1"/>
  <c r="I6" i="3" s="1"/>
  <c r="I4" i="2"/>
  <c r="I5" i="2"/>
  <c r="I6" i="2"/>
  <c r="I7" i="2"/>
  <c r="I8" i="2"/>
  <c r="I9" i="2"/>
  <c r="I10" i="2"/>
  <c r="I11" i="2"/>
  <c r="I12" i="2"/>
  <c r="N29" i="4" l="1"/>
  <c r="M41" i="4"/>
  <c r="M69" i="4"/>
  <c r="M57" i="4"/>
  <c r="L69" i="4"/>
  <c r="L41" i="4"/>
  <c r="L53" i="4"/>
  <c r="L57" i="4"/>
  <c r="M53" i="4"/>
  <c r="N28" i="4"/>
  <c r="N30" i="4"/>
  <c r="N33" i="4"/>
  <c r="N32" i="4"/>
  <c r="N36" i="4"/>
  <c r="N34" i="4"/>
  <c r="N35" i="4"/>
  <c r="N31" i="4"/>
  <c r="O124" i="2"/>
  <c r="O116" i="2"/>
  <c r="O108" i="2"/>
  <c r="O100" i="2"/>
  <c r="O92" i="2"/>
  <c r="O84" i="2"/>
  <c r="O76" i="2"/>
  <c r="O68" i="2"/>
  <c r="O60" i="2"/>
  <c r="O52" i="2"/>
  <c r="O44" i="2"/>
  <c r="O36" i="2"/>
  <c r="O28" i="2"/>
  <c r="O20" i="2"/>
  <c r="O12" i="2"/>
  <c r="O4" i="2"/>
  <c r="M33" i="4"/>
  <c r="O33" i="4" s="1"/>
  <c r="O9" i="2"/>
  <c r="M32" i="4"/>
  <c r="O32" i="4" s="1"/>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M35" i="4"/>
  <c r="O35" i="4" s="1"/>
  <c r="O119" i="2"/>
  <c r="O111" i="2"/>
  <c r="O103" i="2"/>
  <c r="O95" i="2"/>
  <c r="O87" i="2"/>
  <c r="O79" i="2"/>
  <c r="O71" i="2"/>
  <c r="O63" i="2"/>
  <c r="O55" i="2"/>
  <c r="O47" i="2"/>
  <c r="O39" i="2"/>
  <c r="O31" i="2"/>
  <c r="O23" i="2"/>
  <c r="O15" i="2"/>
  <c r="O7" i="2"/>
  <c r="O123" i="2"/>
  <c r="O117" i="2"/>
  <c r="O88" i="2"/>
  <c r="O59" i="2"/>
  <c r="O53" i="2"/>
  <c r="O24" i="2"/>
  <c r="M28" i="4"/>
  <c r="O28" i="4" s="1"/>
  <c r="N37" i="4"/>
  <c r="M27" i="4"/>
  <c r="O27" i="4" s="1"/>
  <c r="M37" i="4"/>
  <c r="O37" i="4" s="1"/>
  <c r="O99" i="2"/>
  <c r="O64" i="2"/>
  <c r="O29" i="2"/>
  <c r="M36" i="4"/>
  <c r="O36" i="4" s="1"/>
  <c r="O120" i="2"/>
  <c r="O85" i="2"/>
  <c r="O27" i="2"/>
  <c r="O112" i="2"/>
  <c r="O48" i="2"/>
  <c r="M31" i="4"/>
  <c r="O31" i="4" s="1"/>
  <c r="O75" i="2"/>
  <c r="M30" i="4"/>
  <c r="O30" i="4" s="1"/>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M29" i="4"/>
  <c r="O29" i="4" s="1"/>
  <c r="M34" i="4"/>
  <c r="O34" i="4" s="1"/>
  <c r="O19" i="2"/>
  <c r="O104" i="2"/>
  <c r="N27" i="4"/>
  <c r="P5" i="4"/>
  <c r="Q5" i="4" s="1"/>
  <c r="K7" i="4"/>
  <c r="P6" i="4"/>
  <c r="Q6" i="4" s="1"/>
  <c r="P7" i="4"/>
  <c r="Q7" i="4" s="1"/>
  <c r="P4" i="4"/>
  <c r="Q4" i="4" s="1"/>
  <c r="N7" i="4"/>
  <c r="F26" i="3"/>
  <c r="N4" i="4"/>
  <c r="N5" i="4"/>
  <c r="N6" i="4"/>
  <c r="M13" i="4"/>
  <c r="O13" i="4" s="1"/>
  <c r="N13" i="4"/>
  <c r="M23" i="4"/>
  <c r="O23" i="4" s="1"/>
  <c r="N19" i="4"/>
  <c r="M19" i="4"/>
  <c r="O19" i="4" s="1"/>
  <c r="M17" i="4"/>
  <c r="O17" i="4" s="1"/>
  <c r="N23" i="4"/>
  <c r="N17" i="4"/>
  <c r="N21" i="4"/>
  <c r="N16" i="4"/>
  <c r="M21" i="4"/>
  <c r="O21" i="4" s="1"/>
  <c r="M16" i="4"/>
  <c r="O16" i="4" s="1"/>
  <c r="N20" i="4"/>
  <c r="N15" i="4"/>
  <c r="M20" i="4"/>
  <c r="O20" i="4" s="1"/>
  <c r="M15" i="4"/>
  <c r="O15" i="4" s="1"/>
  <c r="N22" i="4"/>
  <c r="N18" i="4"/>
  <c r="N14" i="4"/>
  <c r="M22" i="4"/>
  <c r="O22" i="4" s="1"/>
  <c r="M18" i="4"/>
  <c r="O18" i="4" s="1"/>
  <c r="M14" i="4"/>
  <c r="O14" i="4" s="1"/>
  <c r="E96" i="3"/>
  <c r="E71" i="3"/>
  <c r="E50" i="3"/>
  <c r="E32" i="3"/>
  <c r="F127" i="3"/>
  <c r="F104" i="3"/>
  <c r="E135" i="3"/>
  <c r="F47" i="3"/>
  <c r="E114" i="3"/>
  <c r="F31" i="3"/>
  <c r="E98" i="3"/>
  <c r="F136" i="3"/>
  <c r="E66" i="3"/>
  <c r="F87" i="3"/>
  <c r="E55" i="3"/>
  <c r="F86" i="3"/>
  <c r="E112" i="3"/>
  <c r="E23" i="3"/>
  <c r="F24" i="3"/>
  <c r="E103" i="3"/>
  <c r="E64" i="3"/>
  <c r="F138" i="3"/>
  <c r="F90" i="3"/>
  <c r="F42" i="3"/>
  <c r="E130" i="3"/>
  <c r="E48" i="3"/>
  <c r="F72" i="3"/>
  <c r="E128" i="3"/>
  <c r="E82" i="3"/>
  <c r="E39" i="3"/>
  <c r="F120" i="3"/>
  <c r="F66" i="3"/>
  <c r="E87" i="3"/>
  <c r="F122" i="3"/>
  <c r="F23" i="3"/>
  <c r="E119" i="3"/>
  <c r="E80" i="3"/>
  <c r="E34" i="3"/>
  <c r="F111" i="3"/>
  <c r="F64" i="3"/>
  <c r="F106" i="3"/>
  <c r="F50" i="3"/>
  <c r="E134" i="3"/>
  <c r="E118" i="3"/>
  <c r="E102" i="3"/>
  <c r="E86" i="3"/>
  <c r="E70" i="3"/>
  <c r="E54" i="3"/>
  <c r="E38" i="3"/>
  <c r="E22" i="3"/>
  <c r="F126" i="3"/>
  <c r="F110" i="3"/>
  <c r="F88" i="3"/>
  <c r="F71" i="3"/>
  <c r="F48"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F21" i="3"/>
  <c r="F37" i="3"/>
  <c r="F53" i="3"/>
  <c r="F61" i="3"/>
  <c r="F77" i="3"/>
  <c r="F93" i="3"/>
  <c r="F109" i="3"/>
  <c r="F125" i="3"/>
  <c r="E21" i="3"/>
  <c r="E29" i="3"/>
  <c r="E45" i="3"/>
  <c r="E61" i="3"/>
  <c r="E77" i="3"/>
  <c r="E101" i="3"/>
  <c r="E125" i="3"/>
  <c r="F22" i="3"/>
  <c r="F38" i="3"/>
  <c r="F54" i="3"/>
  <c r="F70" i="3"/>
  <c r="F94" i="3"/>
  <c r="F102" i="3"/>
  <c r="F20" i="3"/>
  <c r="F28" i="3"/>
  <c r="F36" i="3"/>
  <c r="F44" i="3"/>
  <c r="F52" i="3"/>
  <c r="F60" i="3"/>
  <c r="F68" i="3"/>
  <c r="F76" i="3"/>
  <c r="F84" i="3"/>
  <c r="F92" i="3"/>
  <c r="F100" i="3"/>
  <c r="F108" i="3"/>
  <c r="F116" i="3"/>
  <c r="F124" i="3"/>
  <c r="F132" i="3"/>
  <c r="F19" i="3"/>
  <c r="E28" i="3"/>
  <c r="E36" i="3"/>
  <c r="E44" i="3"/>
  <c r="E52" i="3"/>
  <c r="E60" i="3"/>
  <c r="E68" i="3"/>
  <c r="E76" i="3"/>
  <c r="E84" i="3"/>
  <c r="E92" i="3"/>
  <c r="E100" i="3"/>
  <c r="E108" i="3"/>
  <c r="E116" i="3"/>
  <c r="E124" i="3"/>
  <c r="E132" i="3"/>
  <c r="E19" i="3"/>
  <c r="F29" i="3"/>
  <c r="F45" i="3"/>
  <c r="F69" i="3"/>
  <c r="F85" i="3"/>
  <c r="F101" i="3"/>
  <c r="F117" i="3"/>
  <c r="F133" i="3"/>
  <c r="E37" i="3"/>
  <c r="E53" i="3"/>
  <c r="E69" i="3"/>
  <c r="E85" i="3"/>
  <c r="E93" i="3"/>
  <c r="E109" i="3"/>
  <c r="E117" i="3"/>
  <c r="E133" i="3"/>
  <c r="E20" i="3"/>
  <c r="F30" i="3"/>
  <c r="F46" i="3"/>
  <c r="F62" i="3"/>
  <c r="F78" i="3"/>
  <c r="F25" i="3"/>
  <c r="F33" i="3"/>
  <c r="F41" i="3"/>
  <c r="F49" i="3"/>
  <c r="F57" i="3"/>
  <c r="F65" i="3"/>
  <c r="F73" i="3"/>
  <c r="F81" i="3"/>
  <c r="F89" i="3"/>
  <c r="F97" i="3"/>
  <c r="F105" i="3"/>
  <c r="F113" i="3"/>
  <c r="F121" i="3"/>
  <c r="F129" i="3"/>
  <c r="F137" i="3"/>
  <c r="E25" i="3"/>
  <c r="E33" i="3"/>
  <c r="E41" i="3"/>
  <c r="E49" i="3"/>
  <c r="E57" i="3"/>
  <c r="E65" i="3"/>
  <c r="E73" i="3"/>
  <c r="E81" i="3"/>
  <c r="E89" i="3"/>
  <c r="E97" i="3"/>
  <c r="E105" i="3"/>
  <c r="E113" i="3"/>
  <c r="E121" i="3"/>
  <c r="E129" i="3"/>
  <c r="E137" i="3"/>
  <c r="E111" i="3"/>
  <c r="E95" i="3"/>
  <c r="E79" i="3"/>
  <c r="E63" i="3"/>
  <c r="E31" i="3"/>
  <c r="F135" i="3"/>
  <c r="F119" i="3"/>
  <c r="F103" i="3"/>
  <c r="F82" i="3"/>
  <c r="F63" i="3"/>
  <c r="F40" i="3"/>
  <c r="E126" i="3"/>
  <c r="E94" i="3"/>
  <c r="E62" i="3"/>
  <c r="E30" i="3"/>
  <c r="C30" i="3" s="1"/>
  <c r="F118" i="3"/>
  <c r="F80" i="3"/>
  <c r="E138" i="3"/>
  <c r="E122" i="3"/>
  <c r="E106" i="3"/>
  <c r="E90" i="3"/>
  <c r="E74" i="3"/>
  <c r="E58" i="3"/>
  <c r="E42" i="3"/>
  <c r="E26" i="3"/>
  <c r="F130" i="3"/>
  <c r="F114" i="3"/>
  <c r="F96" i="3"/>
  <c r="F79" i="3"/>
  <c r="F56" i="3"/>
  <c r="F34" i="3"/>
  <c r="E127" i="3"/>
  <c r="E47" i="3"/>
  <c r="E110" i="3"/>
  <c r="E78" i="3"/>
  <c r="E46" i="3"/>
  <c r="F134" i="3"/>
  <c r="F98" i="3"/>
  <c r="F58" i="3"/>
  <c r="F39" i="3"/>
  <c r="E136" i="3"/>
  <c r="E120" i="3"/>
  <c r="E104" i="3"/>
  <c r="E88" i="3"/>
  <c r="E72" i="3"/>
  <c r="E56" i="3"/>
  <c r="E40" i="3"/>
  <c r="E24" i="3"/>
  <c r="F128" i="3"/>
  <c r="F112" i="3"/>
  <c r="F95" i="3"/>
  <c r="F74" i="3"/>
  <c r="F55" i="3"/>
  <c r="F32" i="3"/>
  <c r="C136" i="3" l="1"/>
  <c r="C24" i="3"/>
  <c r="C104" i="3"/>
  <c r="N58" i="4"/>
  <c r="L67" i="4"/>
  <c r="L68" i="4"/>
  <c r="L59" i="4"/>
  <c r="L65" i="4"/>
  <c r="L64" i="4"/>
  <c r="L63" i="4"/>
  <c r="L61" i="4"/>
  <c r="L66" i="4"/>
  <c r="L60" i="4"/>
  <c r="L62" i="4"/>
  <c r="N42" i="4"/>
  <c r="L44" i="4"/>
  <c r="L52" i="4"/>
  <c r="L47" i="4"/>
  <c r="L45" i="4"/>
  <c r="L43" i="4"/>
  <c r="L51" i="4"/>
  <c r="L42" i="4"/>
  <c r="L50" i="4"/>
  <c r="L46" i="4"/>
  <c r="L48" i="4"/>
  <c r="L49" i="4"/>
  <c r="M59" i="4"/>
  <c r="M64" i="4"/>
  <c r="M67" i="4"/>
  <c r="M65" i="4"/>
  <c r="M61" i="4"/>
  <c r="M58" i="4"/>
  <c r="O58" i="4" s="1"/>
  <c r="M60" i="4"/>
  <c r="M66" i="4"/>
  <c r="M62" i="4"/>
  <c r="M63" i="4"/>
  <c r="M68" i="4"/>
  <c r="M46" i="4"/>
  <c r="M42" i="4"/>
  <c r="O42" i="4" s="1"/>
  <c r="P42" i="4" s="1"/>
  <c r="Q42" i="4" s="1"/>
  <c r="M50" i="4"/>
  <c r="M49" i="4"/>
  <c r="M48" i="4"/>
  <c r="M44" i="4"/>
  <c r="M47" i="4"/>
  <c r="M51" i="4"/>
  <c r="M45" i="4"/>
  <c r="M43" i="4"/>
  <c r="M52" i="4"/>
  <c r="L30" i="4"/>
  <c r="P30" i="4" s="1"/>
  <c r="C77" i="3"/>
  <c r="C133" i="3"/>
  <c r="L28" i="4"/>
  <c r="P28" i="4" s="1"/>
  <c r="L34" i="4"/>
  <c r="P34" i="4" s="1"/>
  <c r="L31" i="4"/>
  <c r="P31" i="4" s="1"/>
  <c r="L32" i="4"/>
  <c r="P32" i="4" s="1"/>
  <c r="L36" i="4"/>
  <c r="P36" i="4" s="1"/>
  <c r="L29" i="4"/>
  <c r="P29" i="4" s="1"/>
  <c r="L37" i="4"/>
  <c r="P37" i="4" s="1"/>
  <c r="L33" i="4"/>
  <c r="P33" i="4" s="1"/>
  <c r="C26" i="3"/>
  <c r="L27" i="4"/>
  <c r="P27" i="4" s="1"/>
  <c r="L35" i="4"/>
  <c r="P35" i="4" s="1"/>
  <c r="L13" i="4"/>
  <c r="P13" i="4" s="1"/>
  <c r="L15" i="4"/>
  <c r="P15" i="4" s="1"/>
  <c r="L20" i="4"/>
  <c r="P20" i="4" s="1"/>
  <c r="L22" i="4"/>
  <c r="P22" i="4" s="1"/>
  <c r="L16" i="4"/>
  <c r="P16" i="4" s="1"/>
  <c r="L17" i="4"/>
  <c r="P17" i="4" s="1"/>
  <c r="L18" i="4"/>
  <c r="P18" i="4" s="1"/>
  <c r="L21" i="4"/>
  <c r="P21" i="4" s="1"/>
  <c r="L23" i="4"/>
  <c r="P23" i="4" s="1"/>
  <c r="L14" i="4"/>
  <c r="P14" i="4" s="1"/>
  <c r="L19" i="4"/>
  <c r="P19" i="4" s="1"/>
  <c r="S7" i="4"/>
  <c r="C56" i="3"/>
  <c r="C72" i="3"/>
  <c r="C93" i="3"/>
  <c r="C21" i="3"/>
  <c r="C61" i="3"/>
  <c r="C29" i="3"/>
  <c r="C88" i="3"/>
  <c r="C46" i="3"/>
  <c r="C126" i="3"/>
  <c r="C63" i="3"/>
  <c r="C78" i="3"/>
  <c r="C122" i="3"/>
  <c r="C109" i="3"/>
  <c r="C117" i="3"/>
  <c r="C34" i="3"/>
  <c r="C39" i="3"/>
  <c r="C110" i="3"/>
  <c r="C20" i="3"/>
  <c r="C129" i="3"/>
  <c r="C65" i="3"/>
  <c r="C84" i="3"/>
  <c r="C115" i="3"/>
  <c r="C51" i="3"/>
  <c r="C60" i="3"/>
  <c r="C27" i="3"/>
  <c r="C79" i="3"/>
  <c r="C102" i="3"/>
  <c r="C80" i="3"/>
  <c r="C82" i="3"/>
  <c r="C64" i="3"/>
  <c r="C66" i="3"/>
  <c r="C105" i="3"/>
  <c r="C70" i="3"/>
  <c r="C47" i="3"/>
  <c r="C118" i="3"/>
  <c r="C103" i="3"/>
  <c r="C32" i="3"/>
  <c r="C106" i="3"/>
  <c r="C41" i="3"/>
  <c r="C124" i="3"/>
  <c r="C42" i="3"/>
  <c r="C94" i="3"/>
  <c r="C91" i="3"/>
  <c r="C55" i="3"/>
  <c r="C135" i="3"/>
  <c r="C86" i="3"/>
  <c r="C53" i="3"/>
  <c r="C23" i="3"/>
  <c r="C120" i="3"/>
  <c r="C138" i="3"/>
  <c r="C89" i="3"/>
  <c r="C108" i="3"/>
  <c r="C139" i="3"/>
  <c r="D15" i="3" s="1"/>
  <c r="C85" i="3"/>
  <c r="C67" i="3"/>
  <c r="C119" i="3"/>
  <c r="C128" i="3"/>
  <c r="C127" i="3"/>
  <c r="C137" i="3"/>
  <c r="C73" i="3"/>
  <c r="C69" i="3"/>
  <c r="C92" i="3"/>
  <c r="C28" i="3"/>
  <c r="C101" i="3"/>
  <c r="C123" i="3"/>
  <c r="C59" i="3"/>
  <c r="C134" i="3"/>
  <c r="C98" i="3"/>
  <c r="C50" i="3"/>
  <c r="C33" i="3"/>
  <c r="C97" i="3"/>
  <c r="C52" i="3"/>
  <c r="C83" i="3"/>
  <c r="C95" i="3"/>
  <c r="C75" i="3"/>
  <c r="C111" i="3"/>
  <c r="C36" i="3"/>
  <c r="C125" i="3"/>
  <c r="C40" i="3"/>
  <c r="C22" i="3"/>
  <c r="C71" i="3"/>
  <c r="C74" i="3"/>
  <c r="C62" i="3"/>
  <c r="C121" i="3"/>
  <c r="C57" i="3"/>
  <c r="C37" i="3"/>
  <c r="C19" i="3"/>
  <c r="C76" i="3"/>
  <c r="C107" i="3"/>
  <c r="C43" i="3"/>
  <c r="C38" i="3"/>
  <c r="C87" i="3"/>
  <c r="C130" i="3"/>
  <c r="C112" i="3"/>
  <c r="C114" i="3"/>
  <c r="C96" i="3"/>
  <c r="C116" i="3"/>
  <c r="C25" i="3"/>
  <c r="C44" i="3"/>
  <c r="C81" i="3"/>
  <c r="C100" i="3"/>
  <c r="C131" i="3"/>
  <c r="C58" i="3"/>
  <c r="C48" i="3"/>
  <c r="C90" i="3"/>
  <c r="C31" i="3"/>
  <c r="C113" i="3"/>
  <c r="C49" i="3"/>
  <c r="C132" i="3"/>
  <c r="C68" i="3"/>
  <c r="C45" i="3"/>
  <c r="C99" i="3"/>
  <c r="C35" i="3"/>
  <c r="C54" i="3"/>
  <c r="P58" i="4" l="1"/>
  <c r="Q58" i="4" s="1"/>
  <c r="E15" i="3"/>
  <c r="D14" i="3"/>
  <c r="E14" i="3" s="1"/>
  <c r="D7" i="3"/>
  <c r="E7" i="3" s="1"/>
  <c r="D12" i="3"/>
  <c r="E12" i="3" s="1"/>
  <c r="D8" i="3"/>
  <c r="E8" i="3" s="1"/>
  <c r="D10" i="3"/>
  <c r="E10" i="3" s="1"/>
  <c r="D9" i="3"/>
  <c r="E9" i="3" s="1"/>
  <c r="D11" i="3"/>
  <c r="E11" i="3" s="1"/>
  <c r="D13" i="3"/>
  <c r="E13" i="3" s="1"/>
  <c r="O46" i="4"/>
  <c r="N46" i="4"/>
  <c r="O50" i="4"/>
  <c r="N50" i="4"/>
  <c r="O48" i="4"/>
  <c r="N48" i="4"/>
  <c r="N49" i="4"/>
  <c r="O49" i="4"/>
  <c r="N53" i="4"/>
  <c r="O53" i="4"/>
  <c r="N47" i="4"/>
  <c r="O47" i="4"/>
  <c r="N45" i="4"/>
  <c r="O45" i="4"/>
  <c r="O51" i="4"/>
  <c r="N51" i="4"/>
  <c r="O43" i="4"/>
  <c r="N43" i="4"/>
  <c r="N52" i="4"/>
  <c r="O52" i="4"/>
  <c r="O44" i="4"/>
  <c r="N44" i="4"/>
  <c r="Q34" i="4"/>
  <c r="Q33" i="4"/>
  <c r="Q32" i="4"/>
  <c r="Q36" i="4"/>
  <c r="Q29" i="4"/>
  <c r="Q31" i="4"/>
  <c r="N4" i="2" a="1"/>
  <c r="Q35" i="4"/>
  <c r="Q37" i="4"/>
  <c r="Q28" i="4"/>
  <c r="Q27" i="4"/>
  <c r="Q30" i="4"/>
  <c r="Q14" i="4"/>
  <c r="Q17" i="4"/>
  <c r="Q18" i="4"/>
  <c r="Q22" i="4"/>
  <c r="Q15" i="4"/>
  <c r="Q16" i="4"/>
  <c r="Q21" i="4"/>
  <c r="Q19" i="4"/>
  <c r="Q13" i="4"/>
  <c r="Q23" i="4"/>
  <c r="Q20" i="4"/>
  <c r="P50" i="4" l="1"/>
  <c r="P45" i="4"/>
  <c r="P49" i="4"/>
  <c r="P51" i="4"/>
  <c r="P44" i="4"/>
  <c r="P48" i="4"/>
  <c r="P52" i="4"/>
  <c r="P47" i="4"/>
  <c r="P43" i="4"/>
  <c r="Q43" i="4" s="1"/>
  <c r="P53" i="4"/>
  <c r="P46" i="4"/>
  <c r="N119" i="2"/>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 r="N61" i="4"/>
  <c r="N60" i="4"/>
  <c r="N66" i="4"/>
  <c r="O66" i="4"/>
  <c r="O60" i="4"/>
  <c r="O61" i="4"/>
  <c r="N67" i="4"/>
  <c r="L58" i="4"/>
  <c r="O67" i="4"/>
  <c r="N65" i="4"/>
  <c r="N62" i="4"/>
  <c r="N68" i="4"/>
  <c r="O68" i="4"/>
  <c r="N64" i="4"/>
  <c r="O64" i="4"/>
  <c r="O62" i="4"/>
  <c r="N69" i="4"/>
  <c r="O69" i="4"/>
  <c r="O65" i="4"/>
  <c r="N63" i="4"/>
  <c r="O63" i="4"/>
  <c r="Q44" i="4" l="1"/>
  <c r="Q45" i="4" s="1"/>
  <c r="Q46" i="4" s="1"/>
  <c r="Q47" i="4" s="1"/>
  <c r="Q48" i="4" s="1"/>
  <c r="Q49" i="4" s="1"/>
  <c r="Q50" i="4" s="1"/>
  <c r="Q51" i="4" s="1"/>
  <c r="Q52" i="4" s="1"/>
  <c r="Q53" i="4" s="1"/>
  <c r="N59" i="4"/>
  <c r="O59" i="4"/>
  <c r="P59" i="4" s="1"/>
  <c r="Q59" i="4" s="1"/>
  <c r="P62" i="4"/>
  <c r="P61" i="4"/>
  <c r="P64" i="4"/>
  <c r="P67" i="4"/>
  <c r="P65" i="4"/>
  <c r="P66" i="4"/>
  <c r="P63" i="4"/>
  <c r="P68" i="4"/>
  <c r="P69" i="4"/>
  <c r="P60" i="4"/>
  <c r="Q60" i="4" l="1"/>
  <c r="Q61" i="4" s="1"/>
  <c r="Q62" i="4" s="1"/>
  <c r="Q63" i="4" s="1"/>
  <c r="Q64" i="4" s="1"/>
  <c r="Q65" i="4" s="1"/>
  <c r="Q66" i="4" s="1"/>
  <c r="Q67" i="4" s="1"/>
  <c r="Q68" i="4" s="1"/>
  <c r="Q6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<sst xmlns="http://schemas.openxmlformats.org/spreadsheetml/2006/main" count="101" uniqueCount="63">
  <si>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</si>
  <si>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</si>
  <si>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</si>
  <si>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</si>
  <si>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</si>
  <si>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</si>
  <si>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</si>
  <si>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</si>
  <si>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</si>
  <si>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</si>
  <si>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</si>
  <si>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</si>
  <si>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</si>
  <si>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</si>
  <si>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</si>
  <si>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</si>
  <si>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</si>
  <si>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</si>
  <si>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</si>
  <si>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</si>
  <si>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</si>
  <si>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</si>
  <si>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</si>
  <si>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</si>
  <si>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</si>
  <si>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mat_t0</t>
  </si>
  <si>
    <t>mat_t1</t>
  </si>
  <si>
    <t>yield_t0</t>
  </si>
  <si>
    <t>yield_t1</t>
  </si>
  <si>
    <t>roll_inc</t>
  </si>
  <si>
    <t>tot_ret</t>
  </si>
  <si>
    <t>duration</t>
  </si>
  <si>
    <t>coup_inc</t>
  </si>
  <si>
    <t>current</t>
  </si>
  <si>
    <t>scenario</t>
  </si>
  <si>
    <t>ss_err_scen</t>
  </si>
  <si>
    <t>error</t>
  </si>
  <si>
    <t>model</t>
  </si>
  <si>
    <t>unchanged curve</t>
  </si>
  <si>
    <t>scenario curve</t>
  </si>
  <si>
    <t>hump mat</t>
  </si>
  <si>
    <t>IT</t>
  </si>
  <si>
    <t>DE</t>
  </si>
  <si>
    <t>Yield</t>
  </si>
  <si>
    <t>Coupon</t>
  </si>
  <si>
    <t>Duration</t>
  </si>
  <si>
    <t>Price</t>
  </si>
  <si>
    <t>Maturity (yrs)</t>
  </si>
  <si>
    <t>Settlement Date</t>
  </si>
  <si>
    <t>Maturity Date</t>
  </si>
  <si>
    <t>Buy</t>
  </si>
  <si>
    <t>Sell</t>
  </si>
  <si>
    <t>Return via PRICE</t>
  </si>
  <si>
    <t>Return via Duration</t>
  </si>
  <si>
    <t>mat</t>
  </si>
  <si>
    <t>constant maturity a</t>
  </si>
  <si>
    <t>scen_mat_a</t>
  </si>
  <si>
    <t>scen_mat_b</t>
  </si>
  <si>
    <t>price_inc</t>
  </si>
  <si>
    <t>tot_ret_path</t>
  </si>
  <si>
    <t>mat-1m</t>
  </si>
  <si>
    <t>yield-1m</t>
  </si>
  <si>
    <t>constant maturity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</si>
</sst>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9" x14ac:knownFonts="1">
    <font>
      <sz val="11"/>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1" tint="0.74999237037263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45">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4" fillId="3" borderId="0" xfId="0" applyFont="1" applyFill="1" applyAlignment="1">
      <alignment horizontal="center"/>
    </xf>
    <xf numFmtId="0" fontId="3" fillId="4" borderId="0" xfId="0" applyFont="1" applyFill="1" applyAlignment="1">
      <alignment horizontal="center"/>
    </xf>
    <xf numFmtId="2" fontId="3"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4" fillId="3" borderId="0" xfId="0" applyNumberFormat="1" applyFont="1" applyFill="1" applyAlignment="1">
      <alignment horizontal="center"/>
    </xf>
    <xf numFmtId="0" fontId="3" fillId="6" borderId="0" xfId="0" applyFont="1" applyFill="1" applyAlignment="1">
      <alignment horizontal="left"/>
    </xf>
    <xf numFmtId="0" fontId="3" fillId="6" borderId="0" xfId="0" applyFont="1" applyFill="1" applyAlignment="1">
      <alignment horizontal="center"/>
    </xf>
    <xf numFmtId="0" fontId="3" fillId="7" borderId="0" xfId="0" applyFont="1" applyFill="1" applyAlignment="1">
      <alignment horizontal="center"/>
    </xf>
    <xf numFmtId="164" fontId="0" fillId="8" borderId="0" xfId="0" applyNumberFormat="1" applyFill="1" applyAlignment="1">
      <alignment horizontal="center"/>
    </xf>
    <xf numFmtId="0" fontId="5" fillId="8" borderId="0" xfId="0" applyFont="1" applyFill="1" applyAlignment="1">
      <alignment horizontal="center"/>
    </xf>
    <xf numFmtId="0" fontId="5" fillId="8" borderId="0" xfId="0" applyFont="1" applyFill="1"/>
    <xf numFmtId="0" fontId="0" fillId="8" borderId="0" xfId="0" applyFill="1" applyAlignment="1">
      <alignment horizontal="center"/>
    </xf>
    <xf numFmtId="0" fontId="3" fillId="9" borderId="0" xfId="0" applyFont="1" applyFill="1" applyAlignment="1">
      <alignment horizontal="center"/>
    </xf>
    <xf numFmtId="2" fontId="2" fillId="0" borderId="0" xfId="0" applyNumberFormat="1" applyFont="1" applyAlignment="1">
      <alignment horizontal="center"/>
    </xf>
    <xf numFmtId="0" fontId="7" fillId="2" borderId="0" xfId="0" applyFont="1" applyFill="1" applyAlignment="1">
      <alignment horizontal="left"/>
    </xf>
    <xf numFmtId="10" fontId="0" fillId="3" borderId="0" xfId="1" applyNumberFormat="1" applyFont="1" applyFill="1" applyAlignment="1">
      <alignment horizontal="center"/>
    </xf>
    <xf numFmtId="0" fontId="7" fillId="4" borderId="0" xfId="0" applyFont="1" applyFill="1" applyAlignment="1">
      <alignment horizontal="left"/>
    </xf>
    <xf numFmtId="0" fontId="0" fillId="0" borderId="0" xfId="0" applyAlignment="1">
      <alignment horizontal="right"/>
    </xf>
    <xf numFmtId="0" fontId="4"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166" fontId="0" fillId="3" borderId="0" xfId="0" applyNumberFormat="1" applyFill="1" applyAlignment="1">
      <alignment horizontal="center"/>
    </xf>
    <xf numFmtId="2" fontId="0" fillId="10" borderId="0" xfId="0" applyNumberFormat="1" applyFill="1" applyAlignment="1">
      <alignment horizontal="center"/>
    </xf>
    <xf numFmtId="0" fontId="7" fillId="11" borderId="0" xfId="0" applyFont="1" applyFill="1" applyAlignment="1">
      <alignment horizontal="left"/>
    </xf>
    <xf numFmtId="0" fontId="3" fillId="11" borderId="0" xfId="0" applyFont="1" applyFill="1" applyAlignment="1">
      <alignment horizontal="center"/>
    </xf>
    <xf numFmtId="0" fontId="3" fillId="11" borderId="0" xfId="0" quotePrefix="1" applyFont="1" applyFill="1" applyAlignment="1">
      <alignment horizontal="center"/>
    </xf>
    <xf numFmtId="0" fontId="7" fillId="6" borderId="0" xfId="0" applyFont="1" applyFill="1" applyAlignment="1">
      <alignment horizontal="left"/>
    </xf>
    <xf numFmtId="0" fontId="3" fillId="6" borderId="0" xfId="0" quotePrefix="1" applyFont="1" applyFill="1" applyAlignment="1">
      <alignment horizontal="center"/>
    </xf>
    <xf numFmtId="167" fontId="0" fillId="3" borderId="0" xfId="1" applyNumberFormat="1" applyFont="1" applyFill="1" applyAlignment="1">
      <alignment horizontal="center"/>
    </xf>
    <xf numFmtId="167" fontId="0" fillId="3" borderId="0" xfId="0" applyNumberFormat="1" applyFill="1" applyAlignment="1">
      <alignment horizontal="center"/>
    </xf>
    <xf numFmtId="167" fontId="4" fillId="3" borderId="0" xfId="1" applyNumberFormat="1" applyFont="1" applyFill="1" applyAlignment="1">
      <alignment horizontal="center"/>
    </xf>
    <xf numFmtId="2" fontId="0" fillId="12" borderId="0" xfId="0" applyNumberFormat="1" applyFill="1" applyAlignment="1">
      <alignment horizontal="center"/>
    </xf>
    <xf numFmtId="166" fontId="2" fillId="0" borderId="0" xfId="0" applyNumberFormat="1" applyFont="1" applyAlignment="1">
      <alignment horizontal="center"/>
    </xf>
    <xf numFmtId="166" fontId="0" fillId="3" borderId="0" xfId="0" applyNumberFormat="1" applyFill="1" applyAlignment="1">
      <alignment horizontal="center"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NS!$C$19:$C$139</c:f>
              <c:numCache>
                <c:formatCode>0.00</c:formatCode>
                <c:ptCount val="121"/>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Room'!$J$4:$J$12</c:f>
              <c:numCache>
                <c:formatCode>General</c:formatCode>
                <c:ptCount val="9"/>
                <c:pt idx="0">
                  <c:v>4.625</c:v>
                </c:pt>
                <c:pt idx="1">
                  <c:v>4.4432999999999998</c:v>
                </c:pt>
                <c:pt idx="2">
                  <c:v>4.1813000000000002</c:v>
                </c:pt>
                <c:pt idx="3">
                  <c:v>3.9554</c:v>
                </c:pt>
                <c:pt idx="4">
                  <c:v>3.875</c:v>
                </c:pt>
                <c:pt idx="5">
                  <c:v>3.9018000000000002</c:v>
                </c:pt>
                <c:pt idx="6">
                  <c:v>3.9904999999999999</c:v>
                </c:pt>
                <c:pt idx="7">
                  <c:v>4.1002999999999998</c:v>
                </c:pt>
                <c:pt idx="8">
                  <c:v>4.4105999999999996</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Room'!$K$4:$K$12</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NS!$D$19:$D$139</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NS!$E$19:$E$139</c:f>
              <c:numCache>
                <c:formatCode>0.0000</c:formatCode>
                <c:ptCount val="121"/>
                <c:pt idx="0">
                  <c:v>0.99951593571023378</c:v>
                </c:pt>
                <c:pt idx="1">
                  <c:v>0.95647538310795222</c:v>
                </c:pt>
                <c:pt idx="2">
                  <c:v>0.91545808315126065</c:v>
                </c:pt>
                <c:pt idx="3">
                  <c:v>0.87678608683116332</c:v>
                </c:pt>
                <c:pt idx="4">
                  <c:v>0.84030853084613111</c:v>
                </c:pt>
                <c:pt idx="5">
                  <c:v>0.80588490324150697</c:v>
                </c:pt>
                <c:pt idx="6">
                  <c:v>0.77338430356767585</c:v>
                </c:pt>
                <c:pt idx="7">
                  <c:v>0.74268475742776874</c:v>
                </c:pt>
                <c:pt idx="8">
                  <c:v>0.71367258133315281</c:v>
                </c:pt>
                <c:pt idx="9">
                  <c:v>0.68624179409613673</c:v>
                </c:pt>
                <c:pt idx="10">
                  <c:v>0.66029357127648614</c:v>
                </c:pt>
                <c:pt idx="11">
                  <c:v>0.6357357394633617</c:v>
                </c:pt>
                <c:pt idx="12">
                  <c:v>0.61248230741888332</c:v>
                </c:pt>
                <c:pt idx="13">
                  <c:v>0.5904530313352877</c:v>
                </c:pt>
                <c:pt idx="14">
                  <c:v>0.56957301166604113</c:v>
                </c:pt>
                <c:pt idx="15">
                  <c:v>0.54977231918364722</c:v>
                </c:pt>
                <c:pt idx="16">
                  <c:v>0.530985648094498</c:v>
                </c:pt>
                <c:pt idx="17">
                  <c:v>0.51315199420509405</c:v>
                </c:pt>
                <c:pt idx="18">
                  <c:v>0.49621435628537602</c:v>
                </c:pt>
                <c:pt idx="19">
                  <c:v>0.48011945891472374</c:v>
                </c:pt>
                <c:pt idx="20">
                  <c:v>0.46481749522530419</c:v>
                </c:pt>
                <c:pt idx="21">
                  <c:v>0.45026188807670281</c:v>
                </c:pt>
                <c:pt idx="22">
                  <c:v>0.43640906830591725</c:v>
                </c:pt>
                <c:pt idx="23">
                  <c:v>0.42321826879854396</c:v>
                </c:pt>
                <c:pt idx="24">
                  <c:v>0.41065133322097735</c:v>
                </c:pt>
                <c:pt idx="25">
                  <c:v>0.39867253834028055</c:v>
                </c:pt>
                <c:pt idx="26">
                  <c:v>0.38724842893862188</c:v>
                </c:pt>
                <c:pt idx="27">
                  <c:v>0.37634766440330913</c:v>
                </c:pt>
                <c:pt idx="28">
                  <c:v>0.36594087614196824</c:v>
                </c:pt>
                <c:pt idx="29">
                  <c:v>0.35600053503573248</c:v>
                </c:pt>
                <c:pt idx="30">
                  <c:v>0.34650082820183253</c:v>
                </c:pt>
                <c:pt idx="31">
                  <c:v>0.33741754439107779</c:v>
                </c:pt>
                <c:pt idx="32">
                  <c:v>0.32872796739572857</c:v>
                </c:pt>
                <c:pt idx="33">
                  <c:v>0.32041077688949726</c:v>
                </c:pt>
                <c:pt idx="34">
                  <c:v>0.31244595616416693</c:v>
                </c:pt>
                <c:pt idx="35">
                  <c:v>0.30481470626684909</c:v>
                </c:pt>
                <c:pt idx="36">
                  <c:v>0.29749936607846189</c:v>
                </c:pt>
                <c:pt idx="37">
                  <c:v>0.2904833379078226</c:v>
                </c:pt>
                <c:pt idx="38">
                  <c:v>0.28375101820702603</c:v>
                </c:pt>
                <c:pt idx="39">
                  <c:v>0.27728773304271298</c:v>
                </c:pt>
                <c:pt idx="40">
                  <c:v>0.27107967798460053</c:v>
                </c:pt>
                <c:pt idx="41">
                  <c:v>0.265113862097413</c:v>
                </c:pt>
                <c:pt idx="42">
                  <c:v>0.25937805574527073</c:v>
                </c:pt>
                <c:pt idx="43">
                  <c:v>0.25386074193880404</c:v>
                </c:pt>
                <c:pt idx="44">
                  <c:v>0.24855107097488921</c:v>
                </c:pt>
                <c:pt idx="45">
                  <c:v>0.24343881813707505</c:v>
                </c:pt>
                <c:pt idx="46">
                  <c:v>0.23851434424159032</c:v>
                </c:pt>
                <c:pt idx="47">
                  <c:v>0.23376855882939701</c:v>
                </c:pt>
                <c:pt idx="48">
                  <c:v>0.22919288581917391</c:v>
                </c:pt>
                <c:pt idx="49">
                  <c:v>0.22477923144947234</c:v>
                </c:pt>
                <c:pt idx="50">
                  <c:v>0.22051995435065294</c:v>
                </c:pt>
                <c:pt idx="51">
                  <c:v>0.21640783759866913</c:v>
                </c:pt>
                <c:pt idx="52">
                  <c:v>0.21243606261337714</c:v>
                </c:pt>
                <c:pt idx="53">
                  <c:v>0.20859818477388495</c:v>
                </c:pt>
                <c:pt idx="54">
                  <c:v>0.20488811063256404</c:v>
                </c:pt>
                <c:pt idx="55">
                  <c:v>0.20130007661779148</c:v>
                </c:pt>
                <c:pt idx="56">
                  <c:v>0.1978286291233152</c:v>
                </c:pt>
                <c:pt idx="57">
                  <c:v>0.19446860588939061</c:v>
                </c:pt>
                <c:pt idx="58">
                  <c:v>0.19121511858755924</c:v>
                </c:pt>
                <c:pt idx="59">
                  <c:v>0.18806353652717803</c:v>
                </c:pt>
                <c:pt idx="60">
                  <c:v>0.18500947140758706</c:v>
                </c:pt>
                <c:pt idx="61">
                  <c:v>0.18204876304516823</c:v>
                </c:pt>
                <c:pt idx="62">
                  <c:v>0.17917746600951809</c:v>
                </c:pt>
                <c:pt idx="63">
                  <c:v>0.17639183710757483</c:v>
                </c:pt>
                <c:pt idx="64">
                  <c:v>0.17368832365881778</c:v>
                </c:pt>
                <c:pt idx="65">
                  <c:v>0.17106355250863053</c:v>
                </c:pt>
                <c:pt idx="66">
                  <c:v>0.16851431973060613</c:v>
                </c:pt>
                <c:pt idx="67">
                  <c:v>0.16603758097199225</c:v>
                </c:pt>
                <c:pt idx="68">
                  <c:v>0.16363044239965202</c:v>
                </c:pt>
                <c:pt idx="69">
                  <c:v>0.16129015220686438</c:v>
                </c:pt>
                <c:pt idx="70">
                  <c:v>0.15901409264402613</c:v>
                </c:pt>
                <c:pt idx="71">
                  <c:v>0.1567997725388609</c:v>
                </c:pt>
                <c:pt idx="72">
                  <c:v>0.15464482027410237</c:v>
                </c:pt>
                <c:pt idx="73">
                  <c:v>0.15254697719281332</c:v>
                </c:pt>
                <c:pt idx="74">
                  <c:v>0.1505040914035409</c:v>
                </c:pt>
                <c:pt idx="75">
                  <c:v>0.14851411195940306</c:v>
                </c:pt>
                <c:pt idx="76">
                  <c:v>0.14657508338696215</c:v>
                </c:pt>
                <c:pt idx="77">
                  <c:v>0.1446851405423783</c:v>
                </c:pt>
                <c:pt idx="78">
                  <c:v>0.14284250377385682</c:v>
                </c:pt>
                <c:pt idx="79">
                  <c:v>0.14104547437081913</c:v>
                </c:pt>
                <c:pt idx="80">
                  <c:v>0.13929243028154292</c:v>
                </c:pt>
                <c:pt idx="81">
                  <c:v>0.13758182208224046</c:v>
                </c:pt>
                <c:pt idx="82">
                  <c:v>0.13591216918168345</c:v>
                </c:pt>
                <c:pt idx="83">
                  <c:v>0.13428205624654252</c:v>
                </c:pt>
                <c:pt idx="84">
                  <c:v>0.13269012983359443</c:v>
                </c:pt>
                <c:pt idx="85">
                  <c:v>0.13113509521586938</c:v>
                </c:pt>
                <c:pt idx="86">
                  <c:v>0.12961571339066386</c:v>
                </c:pt>
                <c:pt idx="87">
                  <c:v>0.12813079825814086</c:v>
                </c:pt>
                <c:pt idx="88">
                  <c:v>0.12667921395998002</c:v>
                </c:pt>
                <c:pt idx="89">
                  <c:v>0.12525987236823002</c:v>
                </c:pt>
                <c:pt idx="90">
                  <c:v>0.12387173071515871</c:v>
                </c:pt>
                <c:pt idx="91">
                  <c:v>0.12251378935549553</c:v>
                </c:pt>
                <c:pt idx="92">
                  <c:v>0.12118508965301862</c:v>
                </c:pt>
                <c:pt idx="93">
                  <c:v>0.11988471198395997</c:v>
                </c:pt>
                <c:pt idx="94">
                  <c:v>0.11861177385018648</c:v>
                </c:pt>
                <c:pt idx="95">
                  <c:v>0.11736542809556753</c:v>
                </c:pt>
                <c:pt idx="96">
                  <c:v>0.11614486121936138</c:v>
                </c:pt>
                <c:pt idx="97">
                  <c:v>0.11494929178084633</c:v>
                </c:pt>
                <c:pt idx="98">
                  <c:v>0.11377796888978974</c:v>
                </c:pt>
                <c:pt idx="99">
                  <c:v>0.11263017077769051</c:v>
                </c:pt>
                <c:pt idx="100">
                  <c:v>0.11150520344505062</c:v>
                </c:pt>
                <c:pt idx="101">
                  <c:v>0.11040239938022975</c:v>
                </c:pt>
                <c:pt idx="102">
                  <c:v>0.10932111634571591</c:v>
                </c:pt>
                <c:pt idx="103">
                  <c:v>0.10826073622790505</c:v>
                </c:pt>
                <c:pt idx="104">
                  <c:v>0.10722066394672636</c:v>
                </c:pt>
                <c:pt idx="105">
                  <c:v>0.10620032642167654</c:v>
                </c:pt>
                <c:pt idx="106">
                  <c:v>0.10519917159103928</c:v>
                </c:pt>
                <c:pt idx="107">
                  <c:v>0.10421666748126418</c:v>
                </c:pt>
                <c:pt idx="108">
                  <c:v>0.10325230132366513</c:v>
                </c:pt>
                <c:pt idx="109">
                  <c:v>0.10230557871577181</c:v>
                </c:pt>
                <c:pt idx="110">
                  <c:v>0.10137602282482978</c:v>
                </c:pt>
                <c:pt idx="111">
                  <c:v>0.10046317363109705</c:v>
                </c:pt>
                <c:pt idx="112">
                  <c:v>9.9566587208726534E-2</c:v>
                </c:pt>
                <c:pt idx="113">
                  <c:v>9.8685835042157208E-2</c:v>
                </c:pt>
                <c:pt idx="114">
                  <c:v>9.7820503376060672E-2</c:v>
                </c:pt>
                <c:pt idx="115">
                  <c:v>9.6970192597007107E-2</c:v>
                </c:pt>
                <c:pt idx="116">
                  <c:v>9.6134516645122847E-2</c:v>
                </c:pt>
                <c:pt idx="117">
                  <c:v>9.531310245411502E-2</c:v>
                </c:pt>
                <c:pt idx="118">
                  <c:v>9.4505589418133307E-2</c:v>
                </c:pt>
                <c:pt idx="119">
                  <c:v>9.3711628884029952E-2</c:v>
                </c:pt>
                <c:pt idx="120">
                  <c:v>9.2930883667661987E-2</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NS!$F$19:$F$139</c:f>
              <c:numCache>
                <c:formatCode>0.0000</c:formatCode>
                <c:ptCount val="121"/>
                <c:pt idx="0">
                  <c:v>4.8390805246600888E-4</c:v>
                </c:pt>
                <c:pt idx="1">
                  <c:v>4.2242985037049263E-2</c:v>
                </c:pt>
                <c:pt idx="2">
                  <c:v>7.963720546878672E-2</c:v>
                </c:pt>
                <c:pt idx="3">
                  <c:v>0.11265156146978828</c:v>
                </c:pt>
                <c:pt idx="4">
                  <c:v>0.14171199127623002</c:v>
                </c:pt>
                <c:pt idx="5">
                  <c:v>0.16720531358648183</c:v>
                </c:pt>
                <c:pt idx="6">
                  <c:v>0.18948273071842192</c:v>
                </c:pt>
                <c:pt idx="7">
                  <c:v>0.20886302224442332</c:v>
                </c:pt>
                <c:pt idx="8">
                  <c:v>0.22563545623411241</c:v>
                </c:pt>
                <c:pt idx="9">
                  <c:v>0.2400624428692118</c:v>
                </c:pt>
                <c:pt idx="10">
                  <c:v>0.25238195303457489</c:v>
                </c:pt>
                <c:pt idx="11">
                  <c:v>0.26280972251707646</c:v>
                </c:pt>
                <c:pt idx="12">
                  <c:v>0.27154126064305073</c:v>
                </c:pt>
                <c:pt idx="13">
                  <c:v>0.27875368054061445</c:v>
                </c:pt>
                <c:pt idx="14">
                  <c:v>0.28460736671188336</c:v>
                </c:pt>
                <c:pt idx="15">
                  <c:v>0.28924749422938612</c:v>
                </c:pt>
                <c:pt idx="16">
                  <c:v>0.29280541261956161</c:v>
                </c:pt>
                <c:pt idx="17">
                  <c:v>0.29539990635375057</c:v>
                </c:pt>
                <c:pt idx="18">
                  <c:v>0.29713834282409635</c:v>
                </c:pt>
                <c:pt idx="19">
                  <c:v>0.2981177177296227</c:v>
                </c:pt>
                <c:pt idx="20">
                  <c:v>0.29842560692856945</c:v>
                </c:pt>
                <c:pt idx="21">
                  <c:v>0.29814103301963318</c:v>
                </c:pt>
                <c:pt idx="22">
                  <c:v>0.29733525419049622</c:v>
                </c:pt>
                <c:pt idx="23">
                  <c:v>0.29607248221093563</c:v>
                </c:pt>
                <c:pt idx="24">
                  <c:v>0.29441053584437693</c:v>
                </c:pt>
                <c:pt idx="25">
                  <c:v>0.29240143540099722</c:v>
                </c:pt>
                <c:pt idx="26">
                  <c:v>0.29009194365280111</c:v>
                </c:pt>
                <c:pt idx="27">
                  <c:v>0.28752405787231283</c:v>
                </c:pt>
                <c:pt idx="28">
                  <c:v>0.28473545733782912</c:v>
                </c:pt>
                <c:pt idx="29">
                  <c:v>0.28175991026607239</c:v>
                </c:pt>
                <c:pt idx="30">
                  <c:v>0.27862764378438415</c:v>
                </c:pt>
                <c:pt idx="31">
                  <c:v>0.27536568023640529</c:v>
                </c:pt>
                <c:pt idx="32">
                  <c:v>0.27199814282483242</c:v>
                </c:pt>
                <c:pt idx="33">
                  <c:v>0.26854653332990525</c:v>
                </c:pt>
                <c:pt idx="34">
                  <c:v>0.2650299844005477</c:v>
                </c:pt>
                <c:pt idx="35">
                  <c:v>0.26146548869453329</c:v>
                </c:pt>
                <c:pt idx="36">
                  <c:v>0.2578681069428263</c:v>
                </c:pt>
                <c:pt idx="37">
                  <c:v>0.25425115682968108</c:v>
                </c:pt>
                <c:pt idx="38">
                  <c:v>0.25062638441261753</c:v>
                </c:pt>
                <c:pt idx="39">
                  <c:v>0.24700411965363042</c:v>
                </c:pt>
                <c:pt idx="40">
                  <c:v>0.24339341749364748</c:v>
                </c:pt>
                <c:pt idx="41">
                  <c:v>0.23980218577515328</c:v>
                </c:pt>
                <c:pt idx="42">
                  <c:v>0.23623730120197675</c:v>
                </c:pt>
                <c:pt idx="43">
                  <c:v>0.23270471441951823</c:v>
                </c:pt>
                <c:pt idx="44">
                  <c:v>0.22920954520227854</c:v>
                </c:pt>
                <c:pt idx="45">
                  <c:v>0.22575616864763101</c:v>
                </c:pt>
                <c:pt idx="46">
                  <c:v>0.22234829319460866</c:v>
                </c:pt>
                <c:pt idx="47">
                  <c:v>0.21898903121337834</c:v>
                </c:pt>
                <c:pt idx="48">
                  <c:v>0.21568096284442603</c:v>
                </c:pt>
                <c:pt idx="49">
                  <c:v>0.21242619370571925</c:v>
                </c:pt>
                <c:pt idx="50">
                  <c:v>0.20922640703072118</c:v>
                </c:pt>
                <c:pt idx="51">
                  <c:v>0.20608291074964072</c:v>
                </c:pt>
                <c:pt idx="52">
                  <c:v>0.20299667998028323</c:v>
                </c:pt>
                <c:pt idx="53">
                  <c:v>0.19996839535292266</c:v>
                </c:pt>
                <c:pt idx="54">
                  <c:v>0.19699847755539079</c:v>
                </c:pt>
                <c:pt idx="55">
                  <c:v>0.19408711844974785</c:v>
                </c:pt>
                <c:pt idx="56">
                  <c:v>0.19123430908015956</c:v>
                </c:pt>
                <c:pt idx="57">
                  <c:v>0.1884398648626894</c:v>
                </c:pt>
                <c:pt idx="58">
                  <c:v>0.18570344822136978</c:v>
                </c:pt>
                <c:pt idx="59">
                  <c:v>0.1830245889109203</c:v>
                </c:pt>
                <c:pt idx="60">
                  <c:v>0.1804027022446221</c:v>
                </c:pt>
                <c:pt idx="61">
                  <c:v>0.17783710542595169</c:v>
                </c:pt>
                <c:pt idx="62">
                  <c:v>0.17532703216444814</c:v>
                </c:pt>
                <c:pt idx="63">
                  <c:v>0.17287164573978317</c:v>
                </c:pt>
                <c:pt idx="64">
                  <c:v>0.17047005066297313</c:v>
                </c:pt>
                <c:pt idx="65">
                  <c:v>0.16812130306999265</c:v>
                </c:pt>
                <c:pt idx="66">
                  <c:v>0.16582441997059744</c:v>
                </c:pt>
                <c:pt idx="67">
                  <c:v>0.16357838746382916</c:v>
                </c:pt>
                <c:pt idx="68">
                  <c:v>0.16138216802136368</c:v>
                </c:pt>
                <c:pt idx="69">
                  <c:v>0.15923470693048047</c:v>
                </c:pt>
                <c:pt idx="70">
                  <c:v>0.15713493797989417</c:v>
                </c:pt>
                <c:pt idx="71">
                  <c:v>0.1550817884639254</c:v>
                </c:pt>
                <c:pt idx="72">
                  <c:v>0.15307418357342648</c:v>
                </c:pt>
                <c:pt idx="73">
                  <c:v>0.15111105023545623</c:v>
                </c:pt>
                <c:pt idx="74">
                  <c:v>0.14919132045786165</c:v>
                </c:pt>
                <c:pt idx="75">
                  <c:v>0.14731393422961692</c:v>
                </c:pt>
                <c:pt idx="76">
                  <c:v>0.14547784202294847</c:v>
                </c:pt>
                <c:pt idx="77">
                  <c:v>0.14368200693889349</c:v>
                </c:pt>
                <c:pt idx="78">
                  <c:v>0.14192540653395741</c:v>
                </c:pt>
                <c:pt idx="79">
                  <c:v>0.14020703436192167</c:v>
                </c:pt>
                <c:pt idx="80">
                  <c:v>0.13852590126157002</c:v>
                </c:pt>
                <c:pt idx="81">
                  <c:v>0.13688103641811969</c:v>
                </c:pt>
                <c:pt idx="82">
                  <c:v>0.13527148822344059</c:v>
                </c:pt>
                <c:pt idx="83">
                  <c:v>0.13369632495768979</c:v>
                </c:pt>
                <c:pt idx="84">
                  <c:v>0.13215463531276145</c:v>
                </c:pt>
                <c:pt idx="85">
                  <c:v>0.13064552877593441</c:v>
                </c:pt>
                <c:pt idx="86">
                  <c:v>0.12916813589026707</c:v>
                </c:pt>
                <c:pt idx="87">
                  <c:v>0.12772160840663052</c:v>
                </c:pt>
                <c:pt idx="88">
                  <c:v>0.12630511934076746</c:v>
                </c:pt>
                <c:pt idx="89">
                  <c:v>0.1249178629474019</c:v>
                </c:pt>
                <c:pt idx="90">
                  <c:v>0.12355905462219217</c:v>
                </c:pt>
                <c:pt idx="91">
                  <c:v>0.12222793074120329</c:v>
                </c:pt>
                <c:pt idx="92">
                  <c:v>0.120923748446565</c:v>
                </c:pt>
                <c:pt idx="93">
                  <c:v>0.11964578538606914</c:v>
                </c:pt>
                <c:pt idx="94">
                  <c:v>0.11839333941363382</c:v>
                </c:pt>
                <c:pt idx="95">
                  <c:v>0.11716572825681673</c:v>
                </c:pt>
                <c:pt idx="96">
                  <c:v>0.11596228915688586</c:v>
                </c:pt>
                <c:pt idx="97">
                  <c:v>0.11478237848634858</c:v>
                </c:pt>
                <c:pt idx="98">
                  <c:v>0.11362537134829115</c:v>
                </c:pt>
                <c:pt idx="99">
                  <c:v>0.11249066116138653</c:v>
                </c:pt>
                <c:pt idx="100">
                  <c:v>0.11137765923398309</c:v>
                </c:pt>
                <c:pt idx="101">
                  <c:v>0.11028579433028542</c:v>
                </c:pt>
                <c:pt idx="102">
                  <c:v>0.10921451223127812</c:v>
                </c:pt>
                <c:pt idx="103">
                  <c:v>0.10816327529271837</c:v>
                </c:pt>
                <c:pt idx="104">
                  <c:v>0.10713156200223241</c:v>
                </c:pt>
                <c:pt idx="105">
                  <c:v>0.10611886653728905</c:v>
                </c:pt>
                <c:pt idx="106">
                  <c:v>0.10512469832558913</c:v>
                </c:pt>
                <c:pt idx="107">
                  <c:v>0.10414858160919951</c:v>
                </c:pt>
                <c:pt idx="108">
                  <c:v>0.1031900550135727</c:v>
                </c:pt>
                <c:pt idx="109">
                  <c:v>0.10224867112242494</c:v>
                </c:pt>
                <c:pt idx="110">
                  <c:v>0.10132399605929583</c:v>
                </c:pt>
                <c:pt idx="111">
                  <c:v>0.10041560907647908</c:v>
                </c:pt>
                <c:pt idx="112">
                  <c:v>9.9523102151894971E-2</c:v>
                </c:pt>
                <c:pt idx="113">
                  <c:v>9.8646079594369843E-2</c:v>
                </c:pt>
                <c:pt idx="114">
                  <c:v>9.7784157657693646E-2</c:v>
                </c:pt>
                <c:pt idx="115">
                  <c:v>9.693696416374481E-2</c:v>
                </c:pt>
                <c:pt idx="116">
                  <c:v>9.6104138134897321E-2</c:v>
                </c:pt>
                <c:pt idx="117">
                  <c:v>9.528532943586171E-2</c:v>
                </c:pt>
                <c:pt idx="118">
                  <c:v>9.4480198425053924E-2</c:v>
                </c:pt>
                <c:pt idx="119">
                  <c:v>9.3688415615537576E-2</c:v>
                </c:pt>
                <c:pt idx="120">
                  <c:v>9.2909661345541142E-2</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4.9999965896853507</c:v>
                </c:pt>
                <c:pt idx="1">
                  <c:v>4.9999971958724752</c:v>
                </c:pt>
                <c:pt idx="2">
                  <c:v>4.999997606974075</c:v>
                </c:pt>
                <c:pt idx="3">
                  <c:v>4.9999978390855455</c:v>
                </c:pt>
                <c:pt idx="4">
                  <c:v>4.9999979137221704</c:v>
                </c:pt>
                <c:pt idx="5">
                  <c:v>4.9999978502367286</c:v>
                </c:pt>
                <c:pt idx="6">
                  <c:v>4.9999976660231056</c:v>
                </c:pt>
                <c:pt idx="7">
                  <c:v>4.9999973767013266</c:v>
                </c:pt>
                <c:pt idx="8">
                  <c:v>4.9999969962856863</c:v>
                </c:pt>
                <c:pt idx="9">
                  <c:v>4.9999965373374753</c:v>
                </c:pt>
                <c:pt idx="10">
                  <c:v>4.999996011103705</c:v>
                </c:pt>
                <c:pt idx="11">
                  <c:v>4.9999954276430847</c:v>
                </c:pt>
                <c:pt idx="12">
                  <c:v>4.9999947959403812</c:v>
                </c:pt>
                <c:pt idx="13">
                  <c:v>4.9999941240102421</c:v>
                </c:pt>
                <c:pt idx="14">
                  <c:v>4.9999934189913953</c:v>
                </c:pt>
                <c:pt idx="15">
                  <c:v>4.9999926872321288</c:v>
                </c:pt>
                <c:pt idx="16">
                  <c:v>4.9999919343678156</c:v>
                </c:pt>
                <c:pt idx="17">
                  <c:v>4.9999911653912124</c:v>
                </c:pt>
                <c:pt idx="18">
                  <c:v>4.9999903847161979</c:v>
                </c:pt>
                <c:pt idx="19">
                  <c:v>4.999989596235527</c:v>
                </c:pt>
                <c:pt idx="20">
                  <c:v>4.9999888033731645</c:v>
                </c:pt>
                <c:pt idx="21">
                  <c:v>4.9999880091316822</c:v>
                </c:pt>
                <c:pt idx="22">
                  <c:v>4.9999872161351737</c:v>
                </c:pt>
                <c:pt idx="23">
                  <c:v>4.9999864266680953</c:v>
                </c:pt>
                <c:pt idx="24">
                  <c:v>4.999985642710409</c:v>
                </c:pt>
                <c:pt idx="25">
                  <c:v>4.9999848659693678</c:v>
                </c:pt>
                <c:pt idx="26">
                  <c:v>4.9999840979082473</c:v>
                </c:pt>
                <c:pt idx="27">
                  <c:v>4.9999833397723075</c:v>
                </c:pt>
                <c:pt idx="28">
                  <c:v>4.9999825926122501</c:v>
                </c:pt>
                <c:pt idx="29">
                  <c:v>4.9999818573053849</c:v>
                </c:pt>
                <c:pt idx="30">
                  <c:v>4.9999811345747389</c:v>
                </c:pt>
                <c:pt idx="31">
                  <c:v>4.9999804250062763</c:v>
                </c:pt>
                <c:pt idx="32">
                  <c:v>4.9999797290644352</c:v>
                </c:pt>
                <c:pt idx="33">
                  <c:v>4.9999790471061054</c:v>
                </c:pt>
                <c:pt idx="34">
                  <c:v>4.9999783793932222</c:v>
                </c:pt>
                <c:pt idx="35">
                  <c:v>4.9999777261040919</c:v>
                </c:pt>
                <c:pt idx="36">
                  <c:v>4.9999770873435638</c:v>
                </c:pt>
                <c:pt idx="37">
                  <c:v>4.999976463152179</c:v>
                </c:pt>
                <c:pt idx="38">
                  <c:v>4.9999758535143712</c:v>
                </c:pt>
                <c:pt idx="39">
                  <c:v>4.9999752583658159</c:v>
                </c:pt>
                <c:pt idx="40">
                  <c:v>4.999974677600024</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5</c:v>
                </c:pt>
                <c:pt idx="1">
                  <c:v>5</c:v>
                </c:pt>
                <c:pt idx="2">
                  <c:v>5</c:v>
                </c:pt>
                <c:pt idx="3">
                  <c:v>5</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5</c:v>
                </c:pt>
                <c:pt idx="1">
                  <c:v>5</c:v>
                </c:pt>
                <c:pt idx="2">
                  <c:v>5</c:v>
                </c:pt>
                <c:pt idx="3">
                  <c:v>5</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1"/>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Scenarios!$Q$13:$Q$23</c:f>
              <c:numCache>
                <c:formatCode>0.00%;[Red]\-0.00%</c:formatCode>
                <c:ptCount val="11"/>
                <c:pt idx="0">
                  <c:v>4.1666666666666666E-3</c:v>
                </c:pt>
                <c:pt idx="1">
                  <c:v>4.1666666666666666E-3</c:v>
                </c:pt>
                <c:pt idx="2">
                  <c:v>4.1666666666666666E-3</c:v>
                </c:pt>
                <c:pt idx="3">
                  <c:v>4.1666666666666666E-3</c:v>
                </c:pt>
                <c:pt idx="4">
                  <c:v>4.1666666666666666E-3</c:v>
                </c:pt>
                <c:pt idx="5">
                  <c:v>4.1666666666666666E-3</c:v>
                </c:pt>
                <c:pt idx="6">
                  <c:v>4.1666666666666666E-3</c:v>
                </c:pt>
                <c:pt idx="7">
                  <c:v>4.1666666666666666E-3</c:v>
                </c:pt>
                <c:pt idx="8">
                  <c:v>4.1666666666666666E-3</c:v>
                </c:pt>
                <c:pt idx="9">
                  <c:v>4.1666666666666666E-3</c:v>
                </c:pt>
                <c:pt idx="10">
                  <c:v>4.1666666666666666E-3</c:v>
                </c:pt>
              </c:numCache>
            </c:numRef>
          </c:val>
          <c:extLst>
            <c:ext xmlns:c16="http://schemas.microsoft.com/office/drawing/2014/chart" uri="{C3380CC4-5D6E-409C-BE32-E72D297353CC}">
              <c16:uniqueId val="{00000001-BD0C-6D48-BDFB-912B5D9AE71C}"/>
            </c:ext>
          </c:extLst>
        </c:ser>
        <c:ser>
          <c:idx val="0"/>
          <c:order val="1"/>
          <c:tx>
            <c:v>scenario</c:v>
          </c:tx>
          <c:spPr>
            <a:solidFill>
              <a:schemeClr val="accent2"/>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Scenarios!$Q$27:$Q$37</c:f>
              <c:numCache>
                <c:formatCode>0.00%;[Red]\-0.00%</c:formatCode>
                <c:ptCount val="11"/>
                <c:pt idx="0">
                  <c:v>4.1666707265650589E-3</c:v>
                </c:pt>
                <c:pt idx="1">
                  <c:v>4.1666829964801992E-3</c:v>
                </c:pt>
                <c:pt idx="2">
                  <c:v>4.1666955244779157E-3</c:v>
                </c:pt>
                <c:pt idx="3">
                  <c:v>4.1667342413193786E-3</c:v>
                </c:pt>
                <c:pt idx="4">
                  <c:v>4.1668264188086928E-3</c:v>
                </c:pt>
                <c:pt idx="5">
                  <c:v>4.1669774585581208E-3</c:v>
                </c:pt>
                <c:pt idx="6">
                  <c:v>4.1671816556961084E-3</c:v>
                </c:pt>
                <c:pt idx="7">
                  <c:v>4.1674294448289647E-3</c:v>
                </c:pt>
                <c:pt idx="8">
                  <c:v>4.1677088508501881E-3</c:v>
                </c:pt>
                <c:pt idx="9">
                  <c:v>4.1680109603540053E-3</c:v>
                </c:pt>
                <c:pt idx="10">
                  <c:v>4.1683268133741536E-3</c:v>
                </c:pt>
              </c:numCache>
            </c:numRef>
          </c:val>
          <c:extLs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2"/>
          <c:tx>
            <c:v>return_a</c:v>
          </c:tx>
          <c:spPr>
            <a:ln w="28575" cap="rnd">
              <a:solidFill>
                <a:schemeClr val="accent4"/>
              </a:solidFill>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Scenarios!$Q$41:$Q$53</c:f>
              <c:numCache>
                <c:formatCode>0.00%;[Red]\-0.00%</c:formatCode>
                <c:ptCount val="13"/>
                <c:pt idx="0">
                  <c:v>0</c:v>
                </c:pt>
                <c:pt idx="1">
                  <c:v>4.074128054680326E-3</c:v>
                </c:pt>
                <c:pt idx="2">
                  <c:v>8.16485422491664E-3</c:v>
                </c:pt>
                <c:pt idx="3">
                  <c:v>1.2272246130266673E-2</c:v>
                </c:pt>
                <c:pt idx="4">
                  <c:v>1.6396371665758247E-2</c:v>
                </c:pt>
                <c:pt idx="5">
                  <c:v>2.0537299003012821E-2</c:v>
                </c:pt>
                <c:pt idx="6">
                  <c:v>2.4695096591370369E-2</c:v>
                </c:pt>
                <c:pt idx="7">
                  <c:v>2.8869833159022917E-2</c:v>
                </c:pt>
                <c:pt idx="8">
                  <c:v>3.3061577714148527E-2</c:v>
                </c:pt>
                <c:pt idx="9">
                  <c:v>3.7270399546053046E-2</c:v>
                </c:pt>
                <c:pt idx="10">
                  <c:v>4.1496368226315639E-2</c:v>
                </c:pt>
                <c:pt idx="11">
                  <c:v>4.5739553609937644E-2</c:v>
                </c:pt>
                <c:pt idx="12">
                  <c:v>5.0000025836497652E-2</c:v>
                </c:pt>
              </c:numCache>
            </c:numRef>
          </c:yVal>
          <c:smooth val="0"/>
          <c:extLst>
            <c:ext xmlns:c16="http://schemas.microsoft.com/office/drawing/2014/chart" uri="{C3380CC4-5D6E-409C-BE32-E72D297353CC}">
              <c16:uniqueId val="{00000003-DBEF-9B4F-B1DC-E6268E9CFDBF}"/>
            </c:ext>
          </c:extLst>
        </c:ser>
        <c:ser>
          <c:idx val="3"/>
          <c:order val="3"/>
          <c:tx>
            <c:v>return_b</c:v>
          </c:tx>
          <c:spPr>
            <a:ln w="28575" cap="rnd">
              <a:solidFill>
                <a:schemeClr val="accent5"/>
              </a:solidFill>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Scenarios!$Q$57:$Q$69</c:f>
              <c:numCache>
                <c:formatCode>0.00%;[Red]\-0.00%</c:formatCode>
                <c:ptCount val="13"/>
                <c:pt idx="0">
                  <c:v>0</c:v>
                </c:pt>
                <c:pt idx="1">
                  <c:v>4.0742844822323487E-3</c:v>
                </c:pt>
                <c:pt idx="2">
                  <c:v>8.1651658373316227E-3</c:v>
                </c:pt>
                <c:pt idx="3">
                  <c:v>1.2272711661875491E-2</c:v>
                </c:pt>
                <c:pt idx="4">
                  <c:v>1.6396989827705433E-2</c:v>
                </c:pt>
                <c:pt idx="5">
                  <c:v>2.0538068483043403E-2</c:v>
                </c:pt>
                <c:pt idx="6">
                  <c:v>2.4696016053622483E-2</c:v>
                </c:pt>
                <c:pt idx="7">
                  <c:v>2.8870901243809977E-2</c:v>
                </c:pt>
                <c:pt idx="8">
                  <c:v>3.3062793037749838E-2</c:v>
                </c:pt>
                <c:pt idx="9">
                  <c:v>3.7271760700493317E-2</c:v>
                </c:pt>
                <c:pt idx="10">
                  <c:v>4.1497873779149819E-2</c:v>
                </c:pt>
                <c:pt idx="11">
                  <c:v>4.5741202104032874E-2</c:v>
                </c:pt>
                <c:pt idx="12">
                  <c:v>5.0001815789809889E-2</c:v>
                </c:pt>
              </c:numCache>
            </c:numRef>
          </c:yVal>
          <c:smooth val="0"/>
          <c:extLst>
            <c:ext xmlns:c16="http://schemas.microsoft.com/office/drawing/2014/chart" uri="{C3380CC4-5D6E-409C-BE32-E72D297353CC}">
              <c16:uniqueId val="{00000004-DBEF-9B4F-B1DC-E6268E9CFDBF}"/>
            </c:ext>
          </c:extLst>
        </c:ser>
        <c:dLbls>
          <c:showLegendKey val="0"/>
          <c:showVal val="0"/>
          <c:showCatName val="0"/>
          <c:showSerName val="0"/>
          <c:showPercent val="0"/>
          <c:showBubbleSize val="0"/>
        </c:dLbls>
        <c:axId val="1257137456"/>
        <c:axId val="1258187648"/>
      </c:scatterChart>
      <c:scatterChart>
        <c:scatterStyle val="lineMarker"/>
        <c:varyColors val="0"/>
        <c:ser>
          <c:idx val="1"/>
          <c:order val="0"/>
          <c:tx>
            <c:v>yield_a</c:v>
          </c:tx>
          <c:spPr>
            <a:ln w="28575" cap="rnd">
              <a:solidFill>
                <a:schemeClr val="accent4"/>
              </a:solidFill>
              <a:prstDash val="sysDash"/>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Scenarios!$L$41:$L$53</c:f>
              <c:numCache>
                <c:formatCode>0.00</c:formatCode>
                <c:ptCount val="13"/>
                <c:pt idx="0">
                  <c:v>5</c:v>
                </c:pt>
                <c:pt idx="1">
                  <c:v>4.999999749690474</c:v>
                </c:pt>
                <c:pt idx="2">
                  <c:v>4.999999499380948</c:v>
                </c:pt>
                <c:pt idx="3">
                  <c:v>4.999999249071422</c:v>
                </c:pt>
                <c:pt idx="4">
                  <c:v>4.9999989987618951</c:v>
                </c:pt>
                <c:pt idx="5">
                  <c:v>4.9999987484523691</c:v>
                </c:pt>
                <c:pt idx="6">
                  <c:v>4.9999984981428431</c:v>
                </c:pt>
                <c:pt idx="7">
                  <c:v>4.9999982478333171</c:v>
                </c:pt>
                <c:pt idx="8">
                  <c:v>4.9999979975237911</c:v>
                </c:pt>
                <c:pt idx="9">
                  <c:v>4.9999977472142643</c:v>
                </c:pt>
                <c:pt idx="10">
                  <c:v>4.9999974969047383</c:v>
                </c:pt>
                <c:pt idx="11">
                  <c:v>4.9999972465952123</c:v>
                </c:pt>
                <c:pt idx="12">
                  <c:v>4.9999969962856863</c:v>
                </c:pt>
              </c:numCache>
            </c:numRef>
          </c:yVal>
          <c:smooth val="0"/>
          <c:extLst>
            <c:ext xmlns:c16="http://schemas.microsoft.com/office/drawing/2014/chart" uri="{C3380CC4-5D6E-409C-BE32-E72D297353CC}">
              <c16:uniqueId val="{00000001-DBEF-9B4F-B1DC-E6268E9CFDBF}"/>
            </c:ext>
          </c:extLst>
        </c:ser>
        <c:ser>
          <c:idx val="0"/>
          <c:order val="1"/>
          <c:tx>
            <c:v>yield_b</c:v>
          </c:tx>
          <c:spPr>
            <a:ln w="28575" cap="rnd">
              <a:solidFill>
                <a:schemeClr val="accent5"/>
              </a:solidFill>
              <a:prstDash val="sysDash"/>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Scenarios!$L$57:$L$69</c:f>
              <c:numCache>
                <c:formatCode>0.00</c:formatCode>
                <c:ptCount val="13"/>
                <c:pt idx="0">
                  <c:v>5</c:v>
                </c:pt>
                <c:pt idx="1">
                  <c:v>4.9999978898000021</c:v>
                </c:pt>
                <c:pt idx="2">
                  <c:v>4.9999957796000043</c:v>
                </c:pt>
                <c:pt idx="3">
                  <c:v>4.9999936694000056</c:v>
                </c:pt>
                <c:pt idx="4">
                  <c:v>4.9999915592000077</c:v>
                </c:pt>
                <c:pt idx="5">
                  <c:v>4.9999894490000099</c:v>
                </c:pt>
                <c:pt idx="6">
                  <c:v>4.999987338800012</c:v>
                </c:pt>
                <c:pt idx="7">
                  <c:v>4.9999852286000142</c:v>
                </c:pt>
                <c:pt idx="8">
                  <c:v>4.9999831184000163</c:v>
                </c:pt>
                <c:pt idx="9">
                  <c:v>4.9999810082000185</c:v>
                </c:pt>
                <c:pt idx="10">
                  <c:v>4.9999788980000197</c:v>
                </c:pt>
                <c:pt idx="11">
                  <c:v>4.9999767878000219</c:v>
                </c:pt>
                <c:pt idx="12">
                  <c:v>4.999974677600024</c:v>
                </c:pt>
              </c:numCache>
            </c:numRef>
          </c:yVal>
          <c:smooth val="0"/>
          <c:extLst>
            <c:ext xmlns:c16="http://schemas.microsoft.com/office/drawing/2014/chart" uri="{C3380CC4-5D6E-409C-BE32-E72D297353CC}">
              <c16:uniqueId val="{00000002-DBEF-9B4F-B1DC-E6268E9CFDBF}"/>
            </c:ext>
          </c:extLst>
        </c:ser>
        <c:dLbls>
          <c:showLegendKey val="0"/>
          <c:showVal val="0"/>
          <c:showCatName val="0"/>
          <c:showSerName val="0"/>
          <c:showPercent val="0"/>
          <c:showBubbleSize val="0"/>
        </c:dLbls>
        <c:axId val="1017048400"/>
        <c:axId val="1017040992"/>
      </c:scatterChart>
      <c:valAx>
        <c:axId val="1257137456"/>
        <c:scaling>
          <c:orientation val="minMax"/>
          <c:max val="12"/>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87648"/>
        <c:crosses val="autoZero"/>
        <c:crossBetween val="midCat"/>
      </c:valAx>
      <c:valAx>
        <c:axId val="125818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7456"/>
        <c:crosses val="autoZero"/>
        <c:crossBetween val="midCat"/>
      </c:valAx>
      <c:valAx>
        <c:axId val="101704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(pct)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048400"/>
        <c:crosses val="max"/>
        <c:crossBetween val="midCat"/>
      </c:valAx>
      <c:valAx>
        <c:axId val="1017048400"/>
        <c:scaling>
          <c:orientation val="minMax"/>
        </c:scaling>
        <c:delete val="1"/>
        <c:axPos val="b"/>
        <c:numFmt formatCode="General" sourceLinked="1"/>
        <c:majorTickMark val="out"/>
        <c:minorTickMark val="none"/>
        <c:tickLblPos val="nextTo"/>
        <c:crossAx val="1017040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5" val="0"/>
</file>

<file path=xl/ctrlProps/ctrlProp2.xml><?xml version="1.0" encoding="utf-8"?>
<formControlPr xmlns="http://schemas.microsoft.com/office/spreadsheetml/2009/9/main" objectType="Drop" dropStyle="combo" dx="15" fmlaLink="hump_ix" fmlaRange="hump_choices" sel="5"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38</xdr:row>
      <xdr:rowOff>107950</xdr:rowOff>
    </xdr:from>
    <xdr:to>
      <xdr:col>7</xdr:col>
      <xdr:colOff>749300</xdr:colOff>
      <xdr:row>61</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tabSelected="1" workbookViewId="0">
      <selection activeCell="H24" sqref="H24"/>
    </sheetView>
  </sheetViews>
  <sheetFormatPr baseColWidth="10" defaultColWidth="11.5" defaultRowHeight="15" x14ac:dyDescent="0.2"/>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39"/>
  <sheetViews>
    <sheetView showGridLines="0" zoomScale="133" zoomScaleNormal="133" workbookViewId="0"/>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44">
        <f>obs_date</f>
        <v>45576</v>
      </c>
      <c r="H3" s="9" t="s">
        <v>5</v>
      </c>
      <c r="I3" s="19">
        <v>5</v>
      </c>
      <c r="J3" s="6" t="s">
        <v>13</v>
      </c>
      <c r="K3" s="9" t="s">
        <v>17</v>
      </c>
      <c r="P3" s="22"/>
    </row>
    <row r="4" spans="2:17" x14ac:dyDescent="0.2">
      <c r="B4" s="22"/>
      <c r="C4" s="44"/>
      <c r="H4" s="9" t="s">
        <v>6</v>
      </c>
      <c r="I4" s="19">
        <v>0</v>
      </c>
      <c r="J4" s="6" t="s">
        <v>14</v>
      </c>
      <c r="K4" s="20"/>
      <c r="P4" s="22"/>
    </row>
    <row r="5" spans="2:17" x14ac:dyDescent="0.2">
      <c r="H5" s="9" t="s">
        <v>7</v>
      </c>
      <c r="I5" s="19">
        <v>0</v>
      </c>
      <c r="J5" s="6" t="s">
        <v>15</v>
      </c>
      <c r="K5" s="21"/>
      <c r="P5" s="9" t="s">
        <v>22</v>
      </c>
    </row>
    <row r="6" spans="2:17" x14ac:dyDescent="0.2">
      <c r="B6" s="5" t="s">
        <v>3</v>
      </c>
      <c r="C6" s="5" t="s">
        <v>4</v>
      </c>
      <c r="D6" s="5" t="s">
        <v>9</v>
      </c>
      <c r="E6" s="5" t="s">
        <v>10</v>
      </c>
      <c r="F6" s="5" t="s">
        <v>23</v>
      </c>
      <c r="H6" s="9" t="s">
        <v>8</v>
      </c>
      <c r="I6" s="12" cm="1">
        <f t="array" ref="I6">INDEX(lambdas,hump_ix,1)</f>
        <v>0.3586819</v>
      </c>
      <c r="J6" s="6" t="s">
        <v>8</v>
      </c>
      <c r="K6" s="6"/>
      <c r="P6" s="12">
        <f>SUMSQ(E7:E15)</f>
        <v>6.8596096800000002</v>
      </c>
    </row>
    <row r="7" spans="2:17" x14ac:dyDescent="0.2">
      <c r="B7" s="9">
        <f t="array" ref="B7:B15">current_maturities</f>
        <v>0.25</v>
      </c>
      <c r="C7" s="7">
        <f t="array" ref="C7:C15">INDEX(current_rates, , country_ix)</f>
        <v>4.625</v>
      </c>
      <c r="D7" s="7">
        <f t="shared" ref="D7:D15" si="0">LOOKUP(B7, ns_table)</f>
        <v>5</v>
      </c>
      <c r="E7" s="8">
        <f t="shared" ref="E7:E15" si="1">IF(ISNA(C7),0,IF(F7,D7-C7,0))</f>
        <v>0.375</v>
      </c>
      <c r="F7" s="22">
        <v>1</v>
      </c>
    </row>
    <row r="8" spans="2:17" x14ac:dyDescent="0.2">
      <c r="B8" s="9">
        <v>0.5</v>
      </c>
      <c r="C8" s="7">
        <v>4.4432999999999998</v>
      </c>
      <c r="D8" s="7">
        <f t="shared" si="0"/>
        <v>5</v>
      </c>
      <c r="E8" s="8">
        <f t="shared" si="1"/>
        <v>0.55670000000000019</v>
      </c>
      <c r="F8" s="22">
        <v>1</v>
      </c>
    </row>
    <row r="9" spans="2:17" x14ac:dyDescent="0.2">
      <c r="B9" s="9">
        <v>1</v>
      </c>
      <c r="C9" s="7">
        <v>4.1813000000000002</v>
      </c>
      <c r="D9" s="7">
        <f t="shared" si="0"/>
        <v>5</v>
      </c>
      <c r="E9" s="8">
        <f t="shared" si="1"/>
        <v>0.81869999999999976</v>
      </c>
      <c r="F9" s="22">
        <v>1</v>
      </c>
      <c r="Q9" s="1" t="s">
        <v>11</v>
      </c>
    </row>
    <row r="10" spans="2:17" x14ac:dyDescent="0.2">
      <c r="B10" s="9">
        <v>2</v>
      </c>
      <c r="C10" s="7">
        <v>3.9554</v>
      </c>
      <c r="D10" s="7">
        <f t="shared" si="0"/>
        <v>5</v>
      </c>
      <c r="E10" s="8">
        <f t="shared" si="1"/>
        <v>1.0446</v>
      </c>
      <c r="F10" s="22">
        <v>1</v>
      </c>
    </row>
    <row r="11" spans="2:17" x14ac:dyDescent="0.2">
      <c r="B11" s="9">
        <v>3</v>
      </c>
      <c r="C11" s="7">
        <v>3.875</v>
      </c>
      <c r="D11" s="7">
        <f t="shared" si="0"/>
        <v>5</v>
      </c>
      <c r="E11" s="8">
        <f t="shared" si="1"/>
        <v>1.125</v>
      </c>
      <c r="F11" s="22">
        <v>1</v>
      </c>
    </row>
    <row r="12" spans="2:17" x14ac:dyDescent="0.2">
      <c r="B12" s="9">
        <v>5</v>
      </c>
      <c r="C12" s="7">
        <v>3.9018000000000002</v>
      </c>
      <c r="D12" s="7">
        <f t="shared" si="0"/>
        <v>5</v>
      </c>
      <c r="E12" s="8">
        <f t="shared" si="1"/>
        <v>1.0981999999999998</v>
      </c>
      <c r="F12" s="22">
        <v>1</v>
      </c>
    </row>
    <row r="13" spans="2:17" x14ac:dyDescent="0.2">
      <c r="B13" s="9">
        <v>7</v>
      </c>
      <c r="C13" s="7">
        <v>3.9904999999999999</v>
      </c>
      <c r="D13" s="7">
        <f t="shared" si="0"/>
        <v>5</v>
      </c>
      <c r="E13" s="8">
        <f t="shared" si="1"/>
        <v>1.0095000000000001</v>
      </c>
      <c r="F13" s="22">
        <v>1</v>
      </c>
    </row>
    <row r="14" spans="2:17" x14ac:dyDescent="0.2">
      <c r="B14" s="9">
        <v>10</v>
      </c>
      <c r="C14" s="7">
        <v>4.1002999999999998</v>
      </c>
      <c r="D14" s="7">
        <f t="shared" si="0"/>
        <v>5</v>
      </c>
      <c r="E14" s="8">
        <f t="shared" si="1"/>
        <v>0.89970000000000017</v>
      </c>
      <c r="F14" s="22">
        <v>1</v>
      </c>
    </row>
    <row r="15" spans="2:17" x14ac:dyDescent="0.2">
      <c r="B15" s="9">
        <v>30</v>
      </c>
      <c r="C15" s="7">
        <v>4.4105999999999996</v>
      </c>
      <c r="D15" s="7">
        <f t="shared" si="0"/>
        <v>5</v>
      </c>
      <c r="E15" s="8">
        <f t="shared" si="1"/>
        <v>0.58940000000000037</v>
      </c>
      <c r="F15" s="22">
        <v>1</v>
      </c>
    </row>
    <row r="16" spans="2:17" x14ac:dyDescent="0.2">
      <c r="C16" s="3"/>
    </row>
    <row r="17" spans="2:10" x14ac:dyDescent="0.2">
      <c r="B17" s="10"/>
      <c r="C17" s="11" t="s">
        <v>9</v>
      </c>
      <c r="D17" s="10"/>
      <c r="E17" s="10" t="s">
        <v>20</v>
      </c>
      <c r="F17" s="10"/>
    </row>
    <row r="18" spans="2:10" x14ac:dyDescent="0.2">
      <c r="B18" s="10" t="s">
        <v>3</v>
      </c>
      <c r="C18" s="10" t="s">
        <v>4</v>
      </c>
      <c r="D18" s="10" t="s">
        <v>5</v>
      </c>
      <c r="E18" s="10" t="s">
        <v>6</v>
      </c>
      <c r="F18" s="10" t="s">
        <v>7</v>
      </c>
    </row>
    <row r="19" spans="2:10" x14ac:dyDescent="0.2">
      <c r="B19" s="15">
        <v>2.7000000000000001E-3</v>
      </c>
      <c r="C19" s="7">
        <f t="shared" ref="C19:C50" si="2">beta_0*D19+beta_1*E19+beta_2*F19</f>
        <v>5</v>
      </c>
      <c r="D19" s="13">
        <v>1</v>
      </c>
      <c r="E19" s="14">
        <f t="shared" ref="E19:E50" si="3">((1-EXP(-lambda*$B19))/(lambda*$B19))</f>
        <v>0.99951593571023378</v>
      </c>
      <c r="F19" s="14">
        <f t="shared" ref="F19:F50" si="4">((1-EXP(-lambda*$B19))/(lambda*$B19)-EXP(-lambda*$B19))</f>
        <v>4.8390805246600888E-4</v>
      </c>
    </row>
    <row r="20" spans="2:10" x14ac:dyDescent="0.2">
      <c r="B20" s="15">
        <v>0.25</v>
      </c>
      <c r="C20" s="7">
        <f t="shared" si="2"/>
        <v>5</v>
      </c>
      <c r="D20" s="13">
        <v>1</v>
      </c>
      <c r="E20" s="14">
        <f t="shared" si="3"/>
        <v>0.95647538310795222</v>
      </c>
      <c r="F20" s="14">
        <f t="shared" si="4"/>
        <v>4.2242985037049263E-2</v>
      </c>
    </row>
    <row r="21" spans="2:10" x14ac:dyDescent="0.2">
      <c r="B21" s="15">
        <v>0.5</v>
      </c>
      <c r="C21" s="7">
        <f t="shared" si="2"/>
        <v>5</v>
      </c>
      <c r="D21" s="13">
        <v>1</v>
      </c>
      <c r="E21" s="14">
        <f t="shared" si="3"/>
        <v>0.91545808315126065</v>
      </c>
      <c r="F21" s="14">
        <f t="shared" si="4"/>
        <v>7.963720546878672E-2</v>
      </c>
    </row>
    <row r="22" spans="2:10" x14ac:dyDescent="0.2">
      <c r="B22" s="15">
        <v>0.75</v>
      </c>
      <c r="C22" s="7">
        <f t="shared" si="2"/>
        <v>5</v>
      </c>
      <c r="D22" s="13">
        <v>1</v>
      </c>
      <c r="E22" s="14">
        <f t="shared" si="3"/>
        <v>0.87678608683116332</v>
      </c>
      <c r="F22" s="14">
        <f t="shared" si="4"/>
        <v>0.11265156146978828</v>
      </c>
      <c r="J22" s="1" t="s">
        <v>11</v>
      </c>
    </row>
    <row r="23" spans="2:10" x14ac:dyDescent="0.2">
      <c r="B23" s="15">
        <v>1</v>
      </c>
      <c r="C23" s="7">
        <f t="shared" si="2"/>
        <v>5</v>
      </c>
      <c r="D23" s="13">
        <v>1</v>
      </c>
      <c r="E23" s="14">
        <f t="shared" si="3"/>
        <v>0.84030853084613111</v>
      </c>
      <c r="F23" s="14">
        <f t="shared" si="4"/>
        <v>0.14171199127623002</v>
      </c>
    </row>
    <row r="24" spans="2:10" x14ac:dyDescent="0.2">
      <c r="B24" s="15">
        <v>1.25</v>
      </c>
      <c r="C24" s="7">
        <f t="shared" si="2"/>
        <v>5</v>
      </c>
      <c r="D24" s="13">
        <v>1</v>
      </c>
      <c r="E24" s="14">
        <f t="shared" si="3"/>
        <v>0.80588490324150697</v>
      </c>
      <c r="F24" s="14">
        <f t="shared" si="4"/>
        <v>0.16720531358648183</v>
      </c>
    </row>
    <row r="25" spans="2:10" x14ac:dyDescent="0.2">
      <c r="B25" s="15">
        <v>1.5</v>
      </c>
      <c r="C25" s="7">
        <f t="shared" si="2"/>
        <v>5</v>
      </c>
      <c r="D25" s="13">
        <v>1</v>
      </c>
      <c r="E25" s="14">
        <f t="shared" si="3"/>
        <v>0.77338430356767585</v>
      </c>
      <c r="F25" s="14">
        <f t="shared" si="4"/>
        <v>0.18948273071842192</v>
      </c>
    </row>
    <row r="26" spans="2:10" x14ac:dyDescent="0.2">
      <c r="B26" s="15">
        <v>1.75</v>
      </c>
      <c r="C26" s="7">
        <f t="shared" si="2"/>
        <v>5</v>
      </c>
      <c r="D26" s="13">
        <v>1</v>
      </c>
      <c r="E26" s="14">
        <f t="shared" si="3"/>
        <v>0.74268475742776874</v>
      </c>
      <c r="F26" s="14">
        <f t="shared" si="4"/>
        <v>0.20886302224442332</v>
      </c>
    </row>
    <row r="27" spans="2:10" x14ac:dyDescent="0.2">
      <c r="B27" s="15">
        <v>2</v>
      </c>
      <c r="C27" s="7">
        <f t="shared" si="2"/>
        <v>5</v>
      </c>
      <c r="D27" s="13">
        <v>1</v>
      </c>
      <c r="E27" s="14">
        <f t="shared" si="3"/>
        <v>0.71367258133315281</v>
      </c>
      <c r="F27" s="14">
        <f t="shared" si="4"/>
        <v>0.22563545623411241</v>
      </c>
    </row>
    <row r="28" spans="2:10" x14ac:dyDescent="0.2">
      <c r="B28" s="15">
        <v>2.25</v>
      </c>
      <c r="C28" s="7">
        <f t="shared" si="2"/>
        <v>5</v>
      </c>
      <c r="D28" s="13">
        <v>1</v>
      </c>
      <c r="E28" s="14">
        <f t="shared" si="3"/>
        <v>0.68624179409613673</v>
      </c>
      <c r="F28" s="14">
        <f t="shared" si="4"/>
        <v>0.2400624428692118</v>
      </c>
    </row>
    <row r="29" spans="2:10" x14ac:dyDescent="0.2">
      <c r="B29" s="15">
        <v>2.5</v>
      </c>
      <c r="C29" s="7">
        <f t="shared" si="2"/>
        <v>5</v>
      </c>
      <c r="D29" s="13">
        <v>1</v>
      </c>
      <c r="E29" s="14">
        <f t="shared" si="3"/>
        <v>0.66029357127648614</v>
      </c>
      <c r="F29" s="14">
        <f t="shared" si="4"/>
        <v>0.25238195303457489</v>
      </c>
    </row>
    <row r="30" spans="2:10" x14ac:dyDescent="0.2">
      <c r="B30" s="15">
        <v>2.75</v>
      </c>
      <c r="C30" s="7">
        <f t="shared" si="2"/>
        <v>5</v>
      </c>
      <c r="D30" s="13">
        <v>1</v>
      </c>
      <c r="E30" s="14">
        <f t="shared" si="3"/>
        <v>0.6357357394633617</v>
      </c>
      <c r="F30" s="14">
        <f t="shared" si="4"/>
        <v>0.26280972251707646</v>
      </c>
    </row>
    <row r="31" spans="2:10" x14ac:dyDescent="0.2">
      <c r="B31" s="15">
        <v>3</v>
      </c>
      <c r="C31" s="7">
        <f t="shared" si="2"/>
        <v>5</v>
      </c>
      <c r="D31" s="13">
        <v>1</v>
      </c>
      <c r="E31" s="14">
        <f t="shared" si="3"/>
        <v>0.61248230741888332</v>
      </c>
      <c r="F31" s="14">
        <f t="shared" si="4"/>
        <v>0.27154126064305073</v>
      </c>
    </row>
    <row r="32" spans="2:10" x14ac:dyDescent="0.2">
      <c r="B32" s="15">
        <v>3.25</v>
      </c>
      <c r="C32" s="7">
        <f t="shared" si="2"/>
        <v>5</v>
      </c>
      <c r="D32" s="13">
        <v>1</v>
      </c>
      <c r="E32" s="14">
        <f t="shared" si="3"/>
        <v>0.5904530313352877</v>
      </c>
      <c r="F32" s="14">
        <f t="shared" si="4"/>
        <v>0.27875368054061445</v>
      </c>
    </row>
    <row r="33" spans="2:6" x14ac:dyDescent="0.2">
      <c r="B33" s="15">
        <v>3.5</v>
      </c>
      <c r="C33" s="7">
        <f t="shared" si="2"/>
        <v>5</v>
      </c>
      <c r="D33" s="13">
        <v>1</v>
      </c>
      <c r="E33" s="14">
        <f t="shared" si="3"/>
        <v>0.56957301166604113</v>
      </c>
      <c r="F33" s="14">
        <f t="shared" si="4"/>
        <v>0.28460736671188336</v>
      </c>
    </row>
    <row r="34" spans="2:6" x14ac:dyDescent="0.2">
      <c r="B34" s="15">
        <v>3.75</v>
      </c>
      <c r="C34" s="7">
        <f t="shared" si="2"/>
        <v>5</v>
      </c>
      <c r="D34" s="13">
        <v>1</v>
      </c>
      <c r="E34" s="14">
        <f t="shared" si="3"/>
        <v>0.54977231918364722</v>
      </c>
      <c r="F34" s="14">
        <f t="shared" si="4"/>
        <v>0.28924749422938612</v>
      </c>
    </row>
    <row r="35" spans="2:6" x14ac:dyDescent="0.2">
      <c r="B35" s="15">
        <v>4</v>
      </c>
      <c r="C35" s="7">
        <f t="shared" si="2"/>
        <v>5</v>
      </c>
      <c r="D35" s="13">
        <v>1</v>
      </c>
      <c r="E35" s="14">
        <f t="shared" si="3"/>
        <v>0.530985648094498</v>
      </c>
      <c r="F35" s="14">
        <f t="shared" si="4"/>
        <v>0.29280541261956161</v>
      </c>
    </row>
    <row r="36" spans="2:6" x14ac:dyDescent="0.2">
      <c r="B36" s="15">
        <v>4.25</v>
      </c>
      <c r="C36" s="7">
        <f t="shared" si="2"/>
        <v>5</v>
      </c>
      <c r="D36" s="13">
        <v>1</v>
      </c>
      <c r="E36" s="14">
        <f t="shared" si="3"/>
        <v>0.51315199420509405</v>
      </c>
      <c r="F36" s="14">
        <f t="shared" si="4"/>
        <v>0.29539990635375057</v>
      </c>
    </row>
    <row r="37" spans="2:6" x14ac:dyDescent="0.2">
      <c r="B37" s="15">
        <v>4.5</v>
      </c>
      <c r="C37" s="7">
        <f t="shared" si="2"/>
        <v>5</v>
      </c>
      <c r="D37" s="13">
        <v>1</v>
      </c>
      <c r="E37" s="14">
        <f t="shared" si="3"/>
        <v>0.49621435628537602</v>
      </c>
      <c r="F37" s="14">
        <f t="shared" si="4"/>
        <v>0.29713834282409635</v>
      </c>
    </row>
    <row r="38" spans="2:6" x14ac:dyDescent="0.2">
      <c r="B38" s="15">
        <v>4.75</v>
      </c>
      <c r="C38" s="7">
        <f t="shared" si="2"/>
        <v>5</v>
      </c>
      <c r="D38" s="13">
        <v>1</v>
      </c>
      <c r="E38" s="14">
        <f t="shared" si="3"/>
        <v>0.48011945891472374</v>
      </c>
      <c r="F38" s="14">
        <f t="shared" si="4"/>
        <v>0.2981177177296227</v>
      </c>
    </row>
    <row r="39" spans="2:6" x14ac:dyDescent="0.2">
      <c r="B39" s="15">
        <v>5</v>
      </c>
      <c r="C39" s="7">
        <f t="shared" si="2"/>
        <v>5</v>
      </c>
      <c r="D39" s="13">
        <v>1</v>
      </c>
      <c r="E39" s="14">
        <f t="shared" si="3"/>
        <v>0.46481749522530419</v>
      </c>
      <c r="F39" s="14">
        <f t="shared" si="4"/>
        <v>0.29842560692856945</v>
      </c>
    </row>
    <row r="40" spans="2:6" x14ac:dyDescent="0.2">
      <c r="B40" s="15">
        <v>5.25</v>
      </c>
      <c r="C40" s="7">
        <f t="shared" si="2"/>
        <v>5</v>
      </c>
      <c r="D40" s="13">
        <v>1</v>
      </c>
      <c r="E40" s="14">
        <f t="shared" si="3"/>
        <v>0.45026188807670281</v>
      </c>
      <c r="F40" s="14">
        <f t="shared" si="4"/>
        <v>0.29814103301963318</v>
      </c>
    </row>
    <row r="41" spans="2:6" x14ac:dyDescent="0.2">
      <c r="B41" s="15">
        <v>5.5</v>
      </c>
      <c r="C41" s="7">
        <f t="shared" si="2"/>
        <v>5</v>
      </c>
      <c r="D41" s="13">
        <v>1</v>
      </c>
      <c r="E41" s="14">
        <f t="shared" si="3"/>
        <v>0.43640906830591725</v>
      </c>
      <c r="F41" s="14">
        <f t="shared" si="4"/>
        <v>0.29733525419049622</v>
      </c>
    </row>
    <row r="42" spans="2:6" x14ac:dyDescent="0.2">
      <c r="B42" s="15">
        <v>5.75</v>
      </c>
      <c r="C42" s="7">
        <f t="shared" si="2"/>
        <v>5</v>
      </c>
      <c r="D42" s="13">
        <v>1</v>
      </c>
      <c r="E42" s="14">
        <f t="shared" si="3"/>
        <v>0.42321826879854396</v>
      </c>
      <c r="F42" s="14">
        <f t="shared" si="4"/>
        <v>0.29607248221093563</v>
      </c>
    </row>
    <row r="43" spans="2:6" x14ac:dyDescent="0.2">
      <c r="B43" s="15">
        <v>6</v>
      </c>
      <c r="C43" s="7">
        <f t="shared" si="2"/>
        <v>5</v>
      </c>
      <c r="D43" s="13">
        <v>1</v>
      </c>
      <c r="E43" s="14">
        <f t="shared" si="3"/>
        <v>0.41065133322097735</v>
      </c>
      <c r="F43" s="14">
        <f t="shared" si="4"/>
        <v>0.29441053584437693</v>
      </c>
    </row>
    <row r="44" spans="2:6" x14ac:dyDescent="0.2">
      <c r="B44" s="15">
        <v>6.25</v>
      </c>
      <c r="C44" s="7">
        <f t="shared" si="2"/>
        <v>5</v>
      </c>
      <c r="D44" s="13">
        <v>1</v>
      </c>
      <c r="E44" s="14">
        <f t="shared" si="3"/>
        <v>0.39867253834028055</v>
      </c>
      <c r="F44" s="14">
        <f t="shared" si="4"/>
        <v>0.29240143540099722</v>
      </c>
    </row>
    <row r="45" spans="2:6" x14ac:dyDescent="0.2">
      <c r="B45" s="15">
        <v>6.5</v>
      </c>
      <c r="C45" s="7">
        <f t="shared" si="2"/>
        <v>5</v>
      </c>
      <c r="D45" s="13">
        <v>1</v>
      </c>
      <c r="E45" s="14">
        <f t="shared" si="3"/>
        <v>0.38724842893862188</v>
      </c>
      <c r="F45" s="14">
        <f t="shared" si="4"/>
        <v>0.29009194365280111</v>
      </c>
    </row>
    <row r="46" spans="2:6" x14ac:dyDescent="0.2">
      <c r="B46" s="15">
        <v>6.75</v>
      </c>
      <c r="C46" s="7">
        <f t="shared" si="2"/>
        <v>5</v>
      </c>
      <c r="D46" s="13">
        <v>1</v>
      </c>
      <c r="E46" s="14">
        <f t="shared" si="3"/>
        <v>0.37634766440330913</v>
      </c>
      <c r="F46" s="14">
        <f t="shared" si="4"/>
        <v>0.28752405787231283</v>
      </c>
    </row>
    <row r="47" spans="2:6" x14ac:dyDescent="0.2">
      <c r="B47" s="15">
        <v>7</v>
      </c>
      <c r="C47" s="7">
        <f t="shared" si="2"/>
        <v>5</v>
      </c>
      <c r="D47" s="13">
        <v>1</v>
      </c>
      <c r="E47" s="14">
        <f t="shared" si="3"/>
        <v>0.36594087614196824</v>
      </c>
      <c r="F47" s="14">
        <f t="shared" si="4"/>
        <v>0.28473545733782912</v>
      </c>
    </row>
    <row r="48" spans="2:6" x14ac:dyDescent="0.2">
      <c r="B48" s="15">
        <v>7.25</v>
      </c>
      <c r="C48" s="7">
        <f t="shared" si="2"/>
        <v>5</v>
      </c>
      <c r="D48" s="13">
        <v>1</v>
      </c>
      <c r="E48" s="14">
        <f t="shared" si="3"/>
        <v>0.35600053503573248</v>
      </c>
      <c r="F48" s="14">
        <f t="shared" si="4"/>
        <v>0.28175991026607239</v>
      </c>
    </row>
    <row r="49" spans="2:6" x14ac:dyDescent="0.2">
      <c r="B49" s="15">
        <v>7.5</v>
      </c>
      <c r="C49" s="7">
        <f t="shared" si="2"/>
        <v>5</v>
      </c>
      <c r="D49" s="13">
        <v>1</v>
      </c>
      <c r="E49" s="14">
        <f t="shared" si="3"/>
        <v>0.34650082820183253</v>
      </c>
      <c r="F49" s="14">
        <f t="shared" si="4"/>
        <v>0.27862764378438415</v>
      </c>
    </row>
    <row r="50" spans="2:6" x14ac:dyDescent="0.2">
      <c r="B50" s="15">
        <v>7.75</v>
      </c>
      <c r="C50" s="7">
        <f t="shared" si="2"/>
        <v>5</v>
      </c>
      <c r="D50" s="13">
        <v>1</v>
      </c>
      <c r="E50" s="14">
        <f t="shared" si="3"/>
        <v>0.33741754439107779</v>
      </c>
      <c r="F50" s="14">
        <f t="shared" si="4"/>
        <v>0.27536568023640529</v>
      </c>
    </row>
    <row r="51" spans="2:6" x14ac:dyDescent="0.2">
      <c r="B51" s="15">
        <v>8</v>
      </c>
      <c r="C51" s="7">
        <f t="shared" ref="C51:C82" si="5">beta_0*D51+beta_1*E51+beta_2*F51</f>
        <v>5</v>
      </c>
      <c r="D51" s="13">
        <v>1</v>
      </c>
      <c r="E51" s="14">
        <f t="shared" ref="E51:E82" si="6">((1-EXP(-lambda*$B51))/(lambda*$B51))</f>
        <v>0.32872796739572857</v>
      </c>
      <c r="F51" s="14">
        <f t="shared" ref="F51:F82" si="7">((1-EXP(-lambda*$B51))/(lambda*$B51)-EXP(-lambda*$B51))</f>
        <v>0.27199814282483242</v>
      </c>
    </row>
    <row r="52" spans="2:6" x14ac:dyDescent="0.2">
      <c r="B52" s="15">
        <v>8.25</v>
      </c>
      <c r="C52" s="7">
        <f t="shared" si="5"/>
        <v>5</v>
      </c>
      <c r="D52" s="13">
        <v>1</v>
      </c>
      <c r="E52" s="14">
        <f t="shared" si="6"/>
        <v>0.32041077688949726</v>
      </c>
      <c r="F52" s="14">
        <f t="shared" si="7"/>
        <v>0.26854653332990525</v>
      </c>
    </row>
    <row r="53" spans="2:6" x14ac:dyDescent="0.2">
      <c r="B53" s="15">
        <v>8.5</v>
      </c>
      <c r="C53" s="7">
        <f t="shared" si="5"/>
        <v>5</v>
      </c>
      <c r="D53" s="13">
        <v>1</v>
      </c>
      <c r="E53" s="14">
        <f t="shared" si="6"/>
        <v>0.31244595616416693</v>
      </c>
      <c r="F53" s="14">
        <f t="shared" si="7"/>
        <v>0.2650299844005477</v>
      </c>
    </row>
    <row r="54" spans="2:6" x14ac:dyDescent="0.2">
      <c r="B54" s="15">
        <v>8.75</v>
      </c>
      <c r="C54" s="7">
        <f t="shared" si="5"/>
        <v>5</v>
      </c>
      <c r="D54" s="13">
        <v>1</v>
      </c>
      <c r="E54" s="14">
        <f t="shared" si="6"/>
        <v>0.30481470626684909</v>
      </c>
      <c r="F54" s="14">
        <f t="shared" si="7"/>
        <v>0.26146548869453329</v>
      </c>
    </row>
    <row r="55" spans="2:6" x14ac:dyDescent="0.2">
      <c r="B55" s="15">
        <v>9</v>
      </c>
      <c r="C55" s="7">
        <f t="shared" si="5"/>
        <v>5</v>
      </c>
      <c r="D55" s="13">
        <v>1</v>
      </c>
      <c r="E55" s="14">
        <f t="shared" si="6"/>
        <v>0.29749936607846189</v>
      </c>
      <c r="F55" s="14">
        <f t="shared" si="7"/>
        <v>0.2578681069428263</v>
      </c>
    </row>
    <row r="56" spans="2:6" x14ac:dyDescent="0.2">
      <c r="B56" s="15">
        <v>9.25</v>
      </c>
      <c r="C56" s="7">
        <f t="shared" si="5"/>
        <v>5</v>
      </c>
      <c r="D56" s="13">
        <v>1</v>
      </c>
      <c r="E56" s="14">
        <f t="shared" si="6"/>
        <v>0.2904833379078226</v>
      </c>
      <c r="F56" s="14">
        <f t="shared" si="7"/>
        <v>0.25425115682968108</v>
      </c>
    </row>
    <row r="57" spans="2:6" x14ac:dyDescent="0.2">
      <c r="B57" s="15">
        <v>9.5</v>
      </c>
      <c r="C57" s="7">
        <f t="shared" si="5"/>
        <v>5</v>
      </c>
      <c r="D57" s="13">
        <v>1</v>
      </c>
      <c r="E57" s="14">
        <f t="shared" si="6"/>
        <v>0.28375101820702603</v>
      </c>
      <c r="F57" s="14">
        <f t="shared" si="7"/>
        <v>0.25062638441261753</v>
      </c>
    </row>
    <row r="58" spans="2:6" x14ac:dyDescent="0.2">
      <c r="B58" s="15">
        <v>9.75</v>
      </c>
      <c r="C58" s="7">
        <f t="shared" si="5"/>
        <v>5</v>
      </c>
      <c r="D58" s="13">
        <v>1</v>
      </c>
      <c r="E58" s="14">
        <f t="shared" si="6"/>
        <v>0.27728773304271298</v>
      </c>
      <c r="F58" s="14">
        <f t="shared" si="7"/>
        <v>0.24700411965363042</v>
      </c>
    </row>
    <row r="59" spans="2:6" x14ac:dyDescent="0.2">
      <c r="B59" s="15">
        <v>10</v>
      </c>
      <c r="C59" s="7">
        <f t="shared" si="5"/>
        <v>5</v>
      </c>
      <c r="D59" s="13">
        <v>1</v>
      </c>
      <c r="E59" s="14">
        <f t="shared" si="6"/>
        <v>0.27107967798460053</v>
      </c>
      <c r="F59" s="14">
        <f t="shared" si="7"/>
        <v>0.24339341749364748</v>
      </c>
    </row>
    <row r="60" spans="2:6" x14ac:dyDescent="0.2">
      <c r="B60" s="15">
        <v>10.25</v>
      </c>
      <c r="C60" s="7">
        <f t="shared" si="5"/>
        <v>5</v>
      </c>
      <c r="D60" s="13">
        <v>1</v>
      </c>
      <c r="E60" s="14">
        <f t="shared" si="6"/>
        <v>0.265113862097413</v>
      </c>
      <c r="F60" s="14">
        <f t="shared" si="7"/>
        <v>0.23980218577515328</v>
      </c>
    </row>
    <row r="61" spans="2:6" x14ac:dyDescent="0.2">
      <c r="B61" s="15">
        <v>10.5</v>
      </c>
      <c r="C61" s="7">
        <f t="shared" si="5"/>
        <v>5</v>
      </c>
      <c r="D61" s="13">
        <v>1</v>
      </c>
      <c r="E61" s="14">
        <f t="shared" si="6"/>
        <v>0.25937805574527073</v>
      </c>
      <c r="F61" s="14">
        <f t="shared" si="7"/>
        <v>0.23623730120197675</v>
      </c>
    </row>
    <row r="62" spans="2:6" x14ac:dyDescent="0.2">
      <c r="B62" s="15">
        <v>10.75</v>
      </c>
      <c r="C62" s="7">
        <f t="shared" si="5"/>
        <v>5</v>
      </c>
      <c r="D62" s="13">
        <v>1</v>
      </c>
      <c r="E62" s="14">
        <f t="shared" si="6"/>
        <v>0.25386074193880404</v>
      </c>
      <c r="F62" s="14">
        <f t="shared" si="7"/>
        <v>0.23270471441951823</v>
      </c>
    </row>
    <row r="63" spans="2:6" x14ac:dyDescent="0.2">
      <c r="B63" s="15">
        <v>11</v>
      </c>
      <c r="C63" s="7">
        <f t="shared" si="5"/>
        <v>5</v>
      </c>
      <c r="D63" s="13">
        <v>1</v>
      </c>
      <c r="E63" s="14">
        <f t="shared" si="6"/>
        <v>0.24855107097488921</v>
      </c>
      <c r="F63" s="14">
        <f t="shared" si="7"/>
        <v>0.22920954520227854</v>
      </c>
    </row>
    <row r="64" spans="2:6" x14ac:dyDescent="0.2">
      <c r="B64" s="15">
        <v>11.25</v>
      </c>
      <c r="C64" s="7">
        <f t="shared" si="5"/>
        <v>5</v>
      </c>
      <c r="D64" s="13">
        <v>1</v>
      </c>
      <c r="E64" s="14">
        <f t="shared" si="6"/>
        <v>0.24343881813707505</v>
      </c>
      <c r="F64" s="14">
        <f t="shared" si="7"/>
        <v>0.22575616864763101</v>
      </c>
    </row>
    <row r="65" spans="2:6" x14ac:dyDescent="0.2">
      <c r="B65" s="15">
        <v>11.5</v>
      </c>
      <c r="C65" s="7">
        <f t="shared" si="5"/>
        <v>5</v>
      </c>
      <c r="D65" s="13">
        <v>1</v>
      </c>
      <c r="E65" s="14">
        <f t="shared" si="6"/>
        <v>0.23851434424159032</v>
      </c>
      <c r="F65" s="14">
        <f t="shared" si="7"/>
        <v>0.22234829319460866</v>
      </c>
    </row>
    <row r="66" spans="2:6" x14ac:dyDescent="0.2">
      <c r="B66" s="15">
        <v>11.75</v>
      </c>
      <c r="C66" s="7">
        <f t="shared" si="5"/>
        <v>5</v>
      </c>
      <c r="D66" s="13">
        <v>1</v>
      </c>
      <c r="E66" s="14">
        <f t="shared" si="6"/>
        <v>0.23376855882939701</v>
      </c>
      <c r="F66" s="14">
        <f t="shared" si="7"/>
        <v>0.21898903121337834</v>
      </c>
    </row>
    <row r="67" spans="2:6" x14ac:dyDescent="0.2">
      <c r="B67" s="15">
        <v>12</v>
      </c>
      <c r="C67" s="7">
        <f t="shared" si="5"/>
        <v>5</v>
      </c>
      <c r="D67" s="13">
        <v>1</v>
      </c>
      <c r="E67" s="14">
        <f t="shared" si="6"/>
        <v>0.22919288581917391</v>
      </c>
      <c r="F67" s="14">
        <f t="shared" si="7"/>
        <v>0.21568096284442603</v>
      </c>
    </row>
    <row r="68" spans="2:6" x14ac:dyDescent="0.2">
      <c r="B68" s="15">
        <v>12.25</v>
      </c>
      <c r="C68" s="7">
        <f t="shared" si="5"/>
        <v>5</v>
      </c>
      <c r="D68" s="13">
        <v>1</v>
      </c>
      <c r="E68" s="14">
        <f t="shared" si="6"/>
        <v>0.22477923144947234</v>
      </c>
      <c r="F68" s="14">
        <f t="shared" si="7"/>
        <v>0.21242619370571925</v>
      </c>
    </row>
    <row r="69" spans="2:6" x14ac:dyDescent="0.2">
      <c r="B69" s="15">
        <v>12.5</v>
      </c>
      <c r="C69" s="7">
        <f t="shared" si="5"/>
        <v>5</v>
      </c>
      <c r="D69" s="13">
        <v>1</v>
      </c>
      <c r="E69" s="14">
        <f t="shared" si="6"/>
        <v>0.22051995435065294</v>
      </c>
      <c r="F69" s="14">
        <f t="shared" si="7"/>
        <v>0.20922640703072118</v>
      </c>
    </row>
    <row r="70" spans="2:6" x14ac:dyDescent="0.2">
      <c r="B70" s="15">
        <v>12.75</v>
      </c>
      <c r="C70" s="7">
        <f t="shared" si="5"/>
        <v>5</v>
      </c>
      <c r="D70" s="13">
        <v>1</v>
      </c>
      <c r="E70" s="14">
        <f t="shared" si="6"/>
        <v>0.21640783759866913</v>
      </c>
      <c r="F70" s="14">
        <f t="shared" si="7"/>
        <v>0.20608291074964072</v>
      </c>
    </row>
    <row r="71" spans="2:6" x14ac:dyDescent="0.2">
      <c r="B71" s="15">
        <v>13</v>
      </c>
      <c r="C71" s="7">
        <f t="shared" si="5"/>
        <v>5</v>
      </c>
      <c r="D71" s="13">
        <v>1</v>
      </c>
      <c r="E71" s="14">
        <f t="shared" si="6"/>
        <v>0.21243606261337714</v>
      </c>
      <c r="F71" s="14">
        <f t="shared" si="7"/>
        <v>0.20299667998028323</v>
      </c>
    </row>
    <row r="72" spans="2:6" x14ac:dyDescent="0.2">
      <c r="B72" s="15">
        <v>13.25</v>
      </c>
      <c r="C72" s="7">
        <f t="shared" si="5"/>
        <v>5</v>
      </c>
      <c r="D72" s="13">
        <v>1</v>
      </c>
      <c r="E72" s="14">
        <f t="shared" si="6"/>
        <v>0.20859818477388495</v>
      </c>
      <c r="F72" s="14">
        <f t="shared" si="7"/>
        <v>0.19996839535292266</v>
      </c>
    </row>
    <row r="73" spans="2:6" x14ac:dyDescent="0.2">
      <c r="B73" s="15">
        <v>13.5</v>
      </c>
      <c r="C73" s="7">
        <f t="shared" si="5"/>
        <v>5</v>
      </c>
      <c r="D73" s="13">
        <v>1</v>
      </c>
      <c r="E73" s="14">
        <f t="shared" si="6"/>
        <v>0.20488811063256404</v>
      </c>
      <c r="F73" s="14">
        <f t="shared" si="7"/>
        <v>0.19699847755539079</v>
      </c>
    </row>
    <row r="74" spans="2:6" x14ac:dyDescent="0.2">
      <c r="B74" s="15">
        <v>13.75</v>
      </c>
      <c r="C74" s="7">
        <f t="shared" si="5"/>
        <v>5</v>
      </c>
      <c r="D74" s="13">
        <v>1</v>
      </c>
      <c r="E74" s="14">
        <f t="shared" si="6"/>
        <v>0.20130007661779148</v>
      </c>
      <c r="F74" s="14">
        <f t="shared" si="7"/>
        <v>0.19408711844974785</v>
      </c>
    </row>
    <row r="75" spans="2:6" x14ac:dyDescent="0.2">
      <c r="B75" s="15">
        <v>14</v>
      </c>
      <c r="C75" s="7">
        <f t="shared" si="5"/>
        <v>5</v>
      </c>
      <c r="D75" s="13">
        <v>1</v>
      </c>
      <c r="E75" s="14">
        <f t="shared" si="6"/>
        <v>0.1978286291233152</v>
      </c>
      <c r="F75" s="14">
        <f t="shared" si="7"/>
        <v>0.19123430908015956</v>
      </c>
    </row>
    <row r="76" spans="2:6" x14ac:dyDescent="0.2">
      <c r="B76" s="15">
        <v>14.25</v>
      </c>
      <c r="C76" s="7">
        <f t="shared" si="5"/>
        <v>5</v>
      </c>
      <c r="D76" s="13">
        <v>1</v>
      </c>
      <c r="E76" s="14">
        <f t="shared" si="6"/>
        <v>0.19446860588939061</v>
      </c>
      <c r="F76" s="14">
        <f t="shared" si="7"/>
        <v>0.1884398648626894</v>
      </c>
    </row>
    <row r="77" spans="2:6" x14ac:dyDescent="0.2">
      <c r="B77" s="15">
        <v>14.5</v>
      </c>
      <c r="C77" s="7">
        <f t="shared" si="5"/>
        <v>5</v>
      </c>
      <c r="D77" s="13">
        <v>1</v>
      </c>
      <c r="E77" s="14">
        <f t="shared" si="6"/>
        <v>0.19121511858755924</v>
      </c>
      <c r="F77" s="14">
        <f t="shared" si="7"/>
        <v>0.18570344822136978</v>
      </c>
    </row>
    <row r="78" spans="2:6" x14ac:dyDescent="0.2">
      <c r="B78" s="15">
        <v>14.75</v>
      </c>
      <c r="C78" s="7">
        <f t="shared" si="5"/>
        <v>5</v>
      </c>
      <c r="D78" s="13">
        <v>1</v>
      </c>
      <c r="E78" s="14">
        <f t="shared" si="6"/>
        <v>0.18806353652717803</v>
      </c>
      <c r="F78" s="14">
        <f t="shared" si="7"/>
        <v>0.1830245889109203</v>
      </c>
    </row>
    <row r="79" spans="2:6" x14ac:dyDescent="0.2">
      <c r="B79" s="15">
        <v>15</v>
      </c>
      <c r="C79" s="7">
        <f t="shared" si="5"/>
        <v>5</v>
      </c>
      <c r="D79" s="13">
        <v>1</v>
      </c>
      <c r="E79" s="14">
        <f t="shared" si="6"/>
        <v>0.18500947140758706</v>
      </c>
      <c r="F79" s="14">
        <f t="shared" si="7"/>
        <v>0.1804027022446221</v>
      </c>
    </row>
    <row r="80" spans="2:6" x14ac:dyDescent="0.2">
      <c r="B80" s="15">
        <v>15.25</v>
      </c>
      <c r="C80" s="7">
        <f t="shared" si="5"/>
        <v>5</v>
      </c>
      <c r="D80" s="13">
        <v>1</v>
      </c>
      <c r="E80" s="14">
        <f t="shared" si="6"/>
        <v>0.18204876304516823</v>
      </c>
      <c r="F80" s="14">
        <f t="shared" si="7"/>
        <v>0.17783710542595169</v>
      </c>
    </row>
    <row r="81" spans="2:6" x14ac:dyDescent="0.2">
      <c r="B81" s="15">
        <v>15.5</v>
      </c>
      <c r="C81" s="7">
        <f t="shared" si="5"/>
        <v>5</v>
      </c>
      <c r="D81" s="13">
        <v>1</v>
      </c>
      <c r="E81" s="14">
        <f t="shared" si="6"/>
        <v>0.17917746600951809</v>
      </c>
      <c r="F81" s="14">
        <f t="shared" si="7"/>
        <v>0.17532703216444814</v>
      </c>
    </row>
    <row r="82" spans="2:6" x14ac:dyDescent="0.2">
      <c r="B82" s="15">
        <v>15.75</v>
      </c>
      <c r="C82" s="7">
        <f t="shared" si="5"/>
        <v>5</v>
      </c>
      <c r="D82" s="13">
        <v>1</v>
      </c>
      <c r="E82" s="14">
        <f t="shared" si="6"/>
        <v>0.17639183710757483</v>
      </c>
      <c r="F82" s="14">
        <f t="shared" si="7"/>
        <v>0.17287164573978317</v>
      </c>
    </row>
    <row r="83" spans="2:6" x14ac:dyDescent="0.2">
      <c r="B83" s="15">
        <v>16</v>
      </c>
      <c r="C83" s="7">
        <f t="shared" ref="C83:C114" si="8">beta_0*D83+beta_1*E83+beta_2*F83</f>
        <v>5</v>
      </c>
      <c r="D83" s="13">
        <v>1</v>
      </c>
      <c r="E83" s="14">
        <f t="shared" ref="E83:E114" si="9">((1-EXP(-lambda*$B83))/(lambda*$B83))</f>
        <v>0.17368832365881778</v>
      </c>
      <c r="F83" s="14">
        <f t="shared" ref="F83:F114" si="10">((1-EXP(-lambda*$B83))/(lambda*$B83)-EXP(-lambda*$B83))</f>
        <v>0.17047005066297313</v>
      </c>
    </row>
    <row r="84" spans="2:6" x14ac:dyDescent="0.2">
      <c r="B84" s="15">
        <v>16.25</v>
      </c>
      <c r="C84" s="7">
        <f t="shared" si="8"/>
        <v>5</v>
      </c>
      <c r="D84" s="13">
        <v>1</v>
      </c>
      <c r="E84" s="14">
        <f t="shared" si="9"/>
        <v>0.17106355250863053</v>
      </c>
      <c r="F84" s="14">
        <f t="shared" si="10"/>
        <v>0.16812130306999265</v>
      </c>
    </row>
    <row r="85" spans="2:6" x14ac:dyDescent="0.2">
      <c r="B85" s="15">
        <v>16.5</v>
      </c>
      <c r="C85" s="7">
        <f t="shared" si="8"/>
        <v>5</v>
      </c>
      <c r="D85" s="13">
        <v>1</v>
      </c>
      <c r="E85" s="14">
        <f t="shared" si="9"/>
        <v>0.16851431973060613</v>
      </c>
      <c r="F85" s="14">
        <f t="shared" si="10"/>
        <v>0.16582441997059744</v>
      </c>
    </row>
    <row r="86" spans="2:6" x14ac:dyDescent="0.2">
      <c r="B86" s="15">
        <v>16.75</v>
      </c>
      <c r="C86" s="7">
        <f t="shared" si="8"/>
        <v>5</v>
      </c>
      <c r="D86" s="13">
        <v>1</v>
      </c>
      <c r="E86" s="14">
        <f t="shared" si="9"/>
        <v>0.16603758097199225</v>
      </c>
      <c r="F86" s="14">
        <f t="shared" si="10"/>
        <v>0.16357838746382916</v>
      </c>
    </row>
    <row r="87" spans="2:6" x14ac:dyDescent="0.2">
      <c r="B87" s="15">
        <v>17</v>
      </c>
      <c r="C87" s="7">
        <f t="shared" si="8"/>
        <v>5</v>
      </c>
      <c r="D87" s="13">
        <v>1</v>
      </c>
      <c r="E87" s="14">
        <f t="shared" si="9"/>
        <v>0.16363044239965202</v>
      </c>
      <c r="F87" s="14">
        <f t="shared" si="10"/>
        <v>0.16138216802136368</v>
      </c>
    </row>
    <row r="88" spans="2:6" x14ac:dyDescent="0.2">
      <c r="B88" s="15">
        <v>17.25</v>
      </c>
      <c r="C88" s="7">
        <f t="shared" si="8"/>
        <v>5</v>
      </c>
      <c r="D88" s="13">
        <v>1</v>
      </c>
      <c r="E88" s="14">
        <f t="shared" si="9"/>
        <v>0.16129015220686438</v>
      </c>
      <c r="F88" s="14">
        <f t="shared" si="10"/>
        <v>0.15923470693048047</v>
      </c>
    </row>
    <row r="89" spans="2:6" x14ac:dyDescent="0.2">
      <c r="B89" s="15">
        <v>17.5</v>
      </c>
      <c r="C89" s="7">
        <f t="shared" si="8"/>
        <v>5</v>
      </c>
      <c r="D89" s="13">
        <v>1</v>
      </c>
      <c r="E89" s="14">
        <f t="shared" si="9"/>
        <v>0.15901409264402613</v>
      </c>
      <c r="F89" s="14">
        <f t="shared" si="10"/>
        <v>0.15713493797989417</v>
      </c>
    </row>
    <row r="90" spans="2:6" x14ac:dyDescent="0.2">
      <c r="B90" s="15">
        <v>17.75</v>
      </c>
      <c r="C90" s="7">
        <f t="shared" si="8"/>
        <v>5</v>
      </c>
      <c r="D90" s="13">
        <v>1</v>
      </c>
      <c r="E90" s="14">
        <f t="shared" si="9"/>
        <v>0.1567997725388609</v>
      </c>
      <c r="F90" s="14">
        <f t="shared" si="10"/>
        <v>0.1550817884639254</v>
      </c>
    </row>
    <row r="91" spans="2:6" x14ac:dyDescent="0.2">
      <c r="B91" s="15">
        <v>18</v>
      </c>
      <c r="C91" s="7">
        <f t="shared" si="8"/>
        <v>5</v>
      </c>
      <c r="D91" s="13">
        <v>1</v>
      </c>
      <c r="E91" s="14">
        <f t="shared" si="9"/>
        <v>0.15464482027410237</v>
      </c>
      <c r="F91" s="14">
        <f t="shared" si="10"/>
        <v>0.15307418357342648</v>
      </c>
    </row>
    <row r="92" spans="2:6" x14ac:dyDescent="0.2">
      <c r="B92" s="15">
        <v>18.25</v>
      </c>
      <c r="C92" s="7">
        <f t="shared" si="8"/>
        <v>5</v>
      </c>
      <c r="D92" s="13">
        <v>1</v>
      </c>
      <c r="E92" s="14">
        <f t="shared" si="9"/>
        <v>0.15254697719281332</v>
      </c>
      <c r="F92" s="14">
        <f t="shared" si="10"/>
        <v>0.15111105023545623</v>
      </c>
    </row>
    <row r="93" spans="2:6" x14ac:dyDescent="0.2">
      <c r="B93" s="15">
        <v>18.5</v>
      </c>
      <c r="C93" s="7">
        <f t="shared" si="8"/>
        <v>5</v>
      </c>
      <c r="D93" s="13">
        <v>1</v>
      </c>
      <c r="E93" s="14">
        <f t="shared" si="9"/>
        <v>0.1505040914035409</v>
      </c>
      <c r="F93" s="14">
        <f t="shared" si="10"/>
        <v>0.14919132045786165</v>
      </c>
    </row>
    <row r="94" spans="2:6" x14ac:dyDescent="0.2">
      <c r="B94" s="15">
        <v>18.75</v>
      </c>
      <c r="C94" s="7">
        <f t="shared" si="8"/>
        <v>5</v>
      </c>
      <c r="D94" s="13">
        <v>1</v>
      </c>
      <c r="E94" s="14">
        <f t="shared" si="9"/>
        <v>0.14851411195940306</v>
      </c>
      <c r="F94" s="14">
        <f t="shared" si="10"/>
        <v>0.14731393422961692</v>
      </c>
    </row>
    <row r="95" spans="2:6" x14ac:dyDescent="0.2">
      <c r="B95" s="15">
        <v>19</v>
      </c>
      <c r="C95" s="7">
        <f t="shared" si="8"/>
        <v>5</v>
      </c>
      <c r="D95" s="13">
        <v>1</v>
      </c>
      <c r="E95" s="14">
        <f t="shared" si="9"/>
        <v>0.14657508338696215</v>
      </c>
      <c r="F95" s="14">
        <f t="shared" si="10"/>
        <v>0.14547784202294847</v>
      </c>
    </row>
    <row r="96" spans="2:6" x14ac:dyDescent="0.2">
      <c r="B96" s="15">
        <v>19.25</v>
      </c>
      <c r="C96" s="7">
        <f t="shared" si="8"/>
        <v>5</v>
      </c>
      <c r="D96" s="13">
        <v>1</v>
      </c>
      <c r="E96" s="14">
        <f t="shared" si="9"/>
        <v>0.1446851405423783</v>
      </c>
      <c r="F96" s="14">
        <f t="shared" si="10"/>
        <v>0.14368200693889349</v>
      </c>
    </row>
    <row r="97" spans="2:6" x14ac:dyDescent="0.2">
      <c r="B97" s="15">
        <v>19.5</v>
      </c>
      <c r="C97" s="7">
        <f t="shared" si="8"/>
        <v>5</v>
      </c>
      <c r="D97" s="13">
        <v>1</v>
      </c>
      <c r="E97" s="14">
        <f t="shared" si="9"/>
        <v>0.14284250377385682</v>
      </c>
      <c r="F97" s="14">
        <f t="shared" si="10"/>
        <v>0.14192540653395741</v>
      </c>
    </row>
    <row r="98" spans="2:6" x14ac:dyDescent="0.2">
      <c r="B98" s="15">
        <v>19.75</v>
      </c>
      <c r="C98" s="7">
        <f t="shared" si="8"/>
        <v>5</v>
      </c>
      <c r="D98" s="13">
        <v>1</v>
      </c>
      <c r="E98" s="14">
        <f t="shared" si="9"/>
        <v>0.14104547437081913</v>
      </c>
      <c r="F98" s="14">
        <f t="shared" si="10"/>
        <v>0.14020703436192167</v>
      </c>
    </row>
    <row r="99" spans="2:6" x14ac:dyDescent="0.2">
      <c r="B99" s="15">
        <v>20</v>
      </c>
      <c r="C99" s="7">
        <f t="shared" si="8"/>
        <v>5</v>
      </c>
      <c r="D99" s="13">
        <v>1</v>
      </c>
      <c r="E99" s="14">
        <f t="shared" si="9"/>
        <v>0.13929243028154292</v>
      </c>
      <c r="F99" s="14">
        <f t="shared" si="10"/>
        <v>0.13852590126157002</v>
      </c>
    </row>
    <row r="100" spans="2:6" x14ac:dyDescent="0.2">
      <c r="B100" s="15">
        <v>20.25</v>
      </c>
      <c r="C100" s="7">
        <f t="shared" si="8"/>
        <v>5</v>
      </c>
      <c r="D100" s="13">
        <v>1</v>
      </c>
      <c r="E100" s="14">
        <f t="shared" si="9"/>
        <v>0.13758182208224046</v>
      </c>
      <c r="F100" s="14">
        <f t="shared" si="10"/>
        <v>0.13688103641811969</v>
      </c>
    </row>
    <row r="101" spans="2:6" x14ac:dyDescent="0.2">
      <c r="B101" s="15">
        <v>20.5</v>
      </c>
      <c r="C101" s="7">
        <f t="shared" si="8"/>
        <v>5</v>
      </c>
      <c r="D101" s="13">
        <v>1</v>
      </c>
      <c r="E101" s="14">
        <f t="shared" si="9"/>
        <v>0.13591216918168345</v>
      </c>
      <c r="F101" s="14">
        <f t="shared" si="10"/>
        <v>0.13527148822344059</v>
      </c>
    </row>
    <row r="102" spans="2:6" x14ac:dyDescent="0.2">
      <c r="B102" s="15">
        <v>20.75</v>
      </c>
      <c r="C102" s="7">
        <f t="shared" si="8"/>
        <v>5</v>
      </c>
      <c r="D102" s="13">
        <v>1</v>
      </c>
      <c r="E102" s="14">
        <f t="shared" si="9"/>
        <v>0.13428205624654252</v>
      </c>
      <c r="F102" s="14">
        <f t="shared" si="10"/>
        <v>0.13369632495768979</v>
      </c>
    </row>
    <row r="103" spans="2:6" x14ac:dyDescent="0.2">
      <c r="B103" s="15">
        <v>21</v>
      </c>
      <c r="C103" s="7">
        <f t="shared" si="8"/>
        <v>5</v>
      </c>
      <c r="D103" s="13">
        <v>1</v>
      </c>
      <c r="E103" s="14">
        <f t="shared" si="9"/>
        <v>0.13269012983359443</v>
      </c>
      <c r="F103" s="14">
        <f t="shared" si="10"/>
        <v>0.13215463531276145</v>
      </c>
    </row>
    <row r="104" spans="2:6" x14ac:dyDescent="0.2">
      <c r="B104" s="15">
        <v>21.25</v>
      </c>
      <c r="C104" s="7">
        <f t="shared" si="8"/>
        <v>5</v>
      </c>
      <c r="D104" s="13">
        <v>1</v>
      </c>
      <c r="E104" s="14">
        <f t="shared" si="9"/>
        <v>0.13113509521586938</v>
      </c>
      <c r="F104" s="14">
        <f t="shared" si="10"/>
        <v>0.13064552877593441</v>
      </c>
    </row>
    <row r="105" spans="2:6" x14ac:dyDescent="0.2">
      <c r="B105" s="15">
        <v>21.5</v>
      </c>
      <c r="C105" s="7">
        <f t="shared" si="8"/>
        <v>5</v>
      </c>
      <c r="D105" s="13">
        <v>1</v>
      </c>
      <c r="E105" s="14">
        <f t="shared" si="9"/>
        <v>0.12961571339066386</v>
      </c>
      <c r="F105" s="14">
        <f t="shared" si="10"/>
        <v>0.12916813589026707</v>
      </c>
    </row>
    <row r="106" spans="2:6" x14ac:dyDescent="0.2">
      <c r="B106" s="15">
        <v>21.75</v>
      </c>
      <c r="C106" s="7">
        <f t="shared" si="8"/>
        <v>5</v>
      </c>
      <c r="D106" s="13">
        <v>1</v>
      </c>
      <c r="E106" s="14">
        <f t="shared" si="9"/>
        <v>0.12813079825814086</v>
      </c>
      <c r="F106" s="14">
        <f t="shared" si="10"/>
        <v>0.12772160840663052</v>
      </c>
    </row>
    <row r="107" spans="2:6" x14ac:dyDescent="0.2">
      <c r="B107" s="15">
        <v>22</v>
      </c>
      <c r="C107" s="7">
        <f t="shared" si="8"/>
        <v>5</v>
      </c>
      <c r="D107" s="13">
        <v>1</v>
      </c>
      <c r="E107" s="14">
        <f t="shared" si="9"/>
        <v>0.12667921395998002</v>
      </c>
      <c r="F107" s="14">
        <f t="shared" si="10"/>
        <v>0.12630511934076746</v>
      </c>
    </row>
    <row r="108" spans="2:6" x14ac:dyDescent="0.2">
      <c r="B108" s="15">
        <v>22.25</v>
      </c>
      <c r="C108" s="7">
        <f t="shared" si="8"/>
        <v>5</v>
      </c>
      <c r="D108" s="13">
        <v>1</v>
      </c>
      <c r="E108" s="14">
        <f t="shared" si="9"/>
        <v>0.12525987236823002</v>
      </c>
      <c r="F108" s="14">
        <f t="shared" si="10"/>
        <v>0.1249178629474019</v>
      </c>
    </row>
    <row r="109" spans="2:6" x14ac:dyDescent="0.2">
      <c r="B109" s="15">
        <v>22.5</v>
      </c>
      <c r="C109" s="7">
        <f t="shared" si="8"/>
        <v>5</v>
      </c>
      <c r="D109" s="13">
        <v>1</v>
      </c>
      <c r="E109" s="14">
        <f t="shared" si="9"/>
        <v>0.12387173071515871</v>
      </c>
      <c r="F109" s="14">
        <f t="shared" si="10"/>
        <v>0.12355905462219217</v>
      </c>
    </row>
    <row r="110" spans="2:6" x14ac:dyDescent="0.2">
      <c r="B110" s="15">
        <v>22.75</v>
      </c>
      <c r="C110" s="7">
        <f t="shared" si="8"/>
        <v>5</v>
      </c>
      <c r="D110" s="13">
        <v>1</v>
      </c>
      <c r="E110" s="14">
        <f t="shared" si="9"/>
        <v>0.12251378935549553</v>
      </c>
      <c r="F110" s="14">
        <f t="shared" si="10"/>
        <v>0.12222793074120329</v>
      </c>
    </row>
    <row r="111" spans="2:6" x14ac:dyDescent="0.2">
      <c r="B111" s="15">
        <v>23</v>
      </c>
      <c r="C111" s="7">
        <f t="shared" si="8"/>
        <v>5</v>
      </c>
      <c r="D111" s="13">
        <v>1</v>
      </c>
      <c r="E111" s="14">
        <f t="shared" si="9"/>
        <v>0.12118508965301862</v>
      </c>
      <c r="F111" s="14">
        <f t="shared" si="10"/>
        <v>0.120923748446565</v>
      </c>
    </row>
    <row r="112" spans="2:6" x14ac:dyDescent="0.2">
      <c r="B112" s="15">
        <v>23.25</v>
      </c>
      <c r="C112" s="7">
        <f t="shared" si="8"/>
        <v>5</v>
      </c>
      <c r="D112" s="13">
        <v>1</v>
      </c>
      <c r="E112" s="14">
        <f t="shared" si="9"/>
        <v>0.11988471198395997</v>
      </c>
      <c r="F112" s="14">
        <f t="shared" si="10"/>
        <v>0.11964578538606914</v>
      </c>
    </row>
    <row r="113" spans="2:6" x14ac:dyDescent="0.2">
      <c r="B113" s="15">
        <v>23.5</v>
      </c>
      <c r="C113" s="7">
        <f t="shared" si="8"/>
        <v>5</v>
      </c>
      <c r="D113" s="13">
        <v>1</v>
      </c>
      <c r="E113" s="14">
        <f t="shared" si="9"/>
        <v>0.11861177385018648</v>
      </c>
      <c r="F113" s="14">
        <f t="shared" si="10"/>
        <v>0.11839333941363382</v>
      </c>
    </row>
    <row r="114" spans="2:6" x14ac:dyDescent="0.2">
      <c r="B114" s="15">
        <v>23.75</v>
      </c>
      <c r="C114" s="7">
        <f t="shared" si="8"/>
        <v>5</v>
      </c>
      <c r="D114" s="13">
        <v>1</v>
      </c>
      <c r="E114" s="14">
        <f t="shared" si="9"/>
        <v>0.11736542809556753</v>
      </c>
      <c r="F114" s="14">
        <f t="shared" si="10"/>
        <v>0.11716572825681673</v>
      </c>
    </row>
    <row r="115" spans="2:6" x14ac:dyDescent="0.2">
      <c r="B115" s="15">
        <v>24</v>
      </c>
      <c r="C115" s="7">
        <f t="shared" ref="C115:C139" si="11">beta_0*D115+beta_1*E115+beta_2*F115</f>
        <v>5</v>
      </c>
      <c r="D115" s="13">
        <v>1</v>
      </c>
      <c r="E115" s="14">
        <f t="shared" ref="E115:E139" si="12">((1-EXP(-lambda*$B115))/(lambda*$B115))</f>
        <v>0.11614486121936138</v>
      </c>
      <c r="F115" s="14">
        <f t="shared" ref="F115:F139" si="13">((1-EXP(-lambda*$B115))/(lambda*$B115)-EXP(-lambda*$B115))</f>
        <v>0.11596228915688586</v>
      </c>
    </row>
    <row r="116" spans="2:6" x14ac:dyDescent="0.2">
      <c r="B116" s="15">
        <v>24.25</v>
      </c>
      <c r="C116" s="7">
        <f t="shared" si="11"/>
        <v>5</v>
      </c>
      <c r="D116" s="13">
        <v>1</v>
      </c>
      <c r="E116" s="14">
        <f t="shared" si="12"/>
        <v>0.11494929178084633</v>
      </c>
      <c r="F116" s="14">
        <f t="shared" si="13"/>
        <v>0.11478237848634858</v>
      </c>
    </row>
    <row r="117" spans="2:6" x14ac:dyDescent="0.2">
      <c r="B117" s="15">
        <v>24.5</v>
      </c>
      <c r="C117" s="7">
        <f t="shared" si="11"/>
        <v>5</v>
      </c>
      <c r="D117" s="13">
        <v>1</v>
      </c>
      <c r="E117" s="14">
        <f t="shared" si="12"/>
        <v>0.11377796888978974</v>
      </c>
      <c r="F117" s="14">
        <f t="shared" si="13"/>
        <v>0.11362537134829115</v>
      </c>
    </row>
    <row r="118" spans="2:6" x14ac:dyDescent="0.2">
      <c r="B118" s="15">
        <v>24.75</v>
      </c>
      <c r="C118" s="7">
        <f t="shared" si="11"/>
        <v>5</v>
      </c>
      <c r="D118" s="13">
        <v>1</v>
      </c>
      <c r="E118" s="14">
        <f t="shared" si="12"/>
        <v>0.11263017077769051</v>
      </c>
      <c r="F118" s="14">
        <f t="shared" si="13"/>
        <v>0.11249066116138653</v>
      </c>
    </row>
    <row r="119" spans="2:6" x14ac:dyDescent="0.2">
      <c r="B119" s="15">
        <v>25</v>
      </c>
      <c r="C119" s="7">
        <f t="shared" si="11"/>
        <v>5</v>
      </c>
      <c r="D119" s="13">
        <v>1</v>
      </c>
      <c r="E119" s="14">
        <f t="shared" si="12"/>
        <v>0.11150520344505062</v>
      </c>
      <c r="F119" s="14">
        <f t="shared" si="13"/>
        <v>0.11137765923398309</v>
      </c>
    </row>
    <row r="120" spans="2:6" x14ac:dyDescent="0.2">
      <c r="B120" s="15">
        <v>25.25</v>
      </c>
      <c r="C120" s="7">
        <f t="shared" si="11"/>
        <v>5</v>
      </c>
      <c r="D120" s="13">
        <v>1</v>
      </c>
      <c r="E120" s="14">
        <f t="shared" si="12"/>
        <v>0.11040239938022975</v>
      </c>
      <c r="F120" s="14">
        <f t="shared" si="13"/>
        <v>0.11028579433028542</v>
      </c>
    </row>
    <row r="121" spans="2:6" x14ac:dyDescent="0.2">
      <c r="B121" s="15">
        <v>25.5</v>
      </c>
      <c r="C121" s="7">
        <f t="shared" si="11"/>
        <v>5</v>
      </c>
      <c r="D121" s="13">
        <v>1</v>
      </c>
      <c r="E121" s="14">
        <f t="shared" si="12"/>
        <v>0.10932111634571591</v>
      </c>
      <c r="F121" s="14">
        <f t="shared" si="13"/>
        <v>0.10921451223127812</v>
      </c>
    </row>
    <row r="122" spans="2:6" x14ac:dyDescent="0.2">
      <c r="B122" s="15">
        <v>25.75</v>
      </c>
      <c r="C122" s="7">
        <f t="shared" si="11"/>
        <v>5</v>
      </c>
      <c r="D122" s="13">
        <v>1</v>
      </c>
      <c r="E122" s="14">
        <f t="shared" si="12"/>
        <v>0.10826073622790505</v>
      </c>
      <c r="F122" s="14">
        <f t="shared" si="13"/>
        <v>0.10816327529271837</v>
      </c>
    </row>
    <row r="123" spans="2:6" x14ac:dyDescent="0.2">
      <c r="B123" s="15">
        <v>26</v>
      </c>
      <c r="C123" s="7">
        <f t="shared" si="11"/>
        <v>5</v>
      </c>
      <c r="D123" s="13">
        <v>1</v>
      </c>
      <c r="E123" s="14">
        <f t="shared" si="12"/>
        <v>0.10722066394672636</v>
      </c>
      <c r="F123" s="14">
        <f t="shared" si="13"/>
        <v>0.10713156200223241</v>
      </c>
    </row>
    <row r="124" spans="2:6" x14ac:dyDescent="0.2">
      <c r="B124" s="15">
        <v>26.25</v>
      </c>
      <c r="C124" s="7">
        <f t="shared" si="11"/>
        <v>5</v>
      </c>
      <c r="D124" s="13">
        <v>1</v>
      </c>
      <c r="E124" s="14">
        <f t="shared" si="12"/>
        <v>0.10620032642167654</v>
      </c>
      <c r="F124" s="14">
        <f t="shared" si="13"/>
        <v>0.10611886653728905</v>
      </c>
    </row>
    <row r="125" spans="2:6" x14ac:dyDescent="0.2">
      <c r="B125" s="15">
        <v>26.5</v>
      </c>
      <c r="C125" s="7">
        <f t="shared" si="11"/>
        <v>5</v>
      </c>
      <c r="D125" s="13">
        <v>1</v>
      </c>
      <c r="E125" s="14">
        <f t="shared" si="12"/>
        <v>0.10519917159103928</v>
      </c>
      <c r="F125" s="14">
        <f t="shared" si="13"/>
        <v>0.10512469832558913</v>
      </c>
    </row>
    <row r="126" spans="2:6" x14ac:dyDescent="0.2">
      <c r="B126" s="15">
        <v>26.75</v>
      </c>
      <c r="C126" s="7">
        <f t="shared" si="11"/>
        <v>5</v>
      </c>
      <c r="D126" s="13">
        <v>1</v>
      </c>
      <c r="E126" s="14">
        <f t="shared" si="12"/>
        <v>0.10421666748126418</v>
      </c>
      <c r="F126" s="14">
        <f t="shared" si="13"/>
        <v>0.10414858160919951</v>
      </c>
    </row>
    <row r="127" spans="2:6" x14ac:dyDescent="0.2">
      <c r="B127" s="15">
        <v>27</v>
      </c>
      <c r="C127" s="7">
        <f t="shared" si="11"/>
        <v>5</v>
      </c>
      <c r="D127" s="13">
        <v>1</v>
      </c>
      <c r="E127" s="14">
        <f t="shared" si="12"/>
        <v>0.10325230132366513</v>
      </c>
      <c r="F127" s="14">
        <f t="shared" si="13"/>
        <v>0.1031900550135727</v>
      </c>
    </row>
    <row r="128" spans="2:6" x14ac:dyDescent="0.2">
      <c r="B128" s="15">
        <v>27.25</v>
      </c>
      <c r="C128" s="7">
        <f t="shared" si="11"/>
        <v>5</v>
      </c>
      <c r="D128" s="13">
        <v>1</v>
      </c>
      <c r="E128" s="14">
        <f t="shared" si="12"/>
        <v>0.10230557871577181</v>
      </c>
      <c r="F128" s="14">
        <f t="shared" si="13"/>
        <v>0.10224867112242494</v>
      </c>
    </row>
    <row r="129" spans="2:6" x14ac:dyDescent="0.2">
      <c r="B129" s="15">
        <v>27.5</v>
      </c>
      <c r="C129" s="7">
        <f t="shared" si="11"/>
        <v>5</v>
      </c>
      <c r="D129" s="13">
        <v>1</v>
      </c>
      <c r="E129" s="14">
        <f t="shared" si="12"/>
        <v>0.10137602282482978</v>
      </c>
      <c r="F129" s="14">
        <f t="shared" si="13"/>
        <v>0.10132399605929583</v>
      </c>
    </row>
    <row r="130" spans="2:6" x14ac:dyDescent="0.2">
      <c r="B130" s="15">
        <v>27.75</v>
      </c>
      <c r="C130" s="7">
        <f t="shared" si="11"/>
        <v>5</v>
      </c>
      <c r="D130" s="13">
        <v>1</v>
      </c>
      <c r="E130" s="14">
        <f t="shared" si="12"/>
        <v>0.10046317363109705</v>
      </c>
      <c r="F130" s="14">
        <f t="shared" si="13"/>
        <v>0.10041560907647908</v>
      </c>
    </row>
    <row r="131" spans="2:6" x14ac:dyDescent="0.2">
      <c r="B131" s="15">
        <v>28</v>
      </c>
      <c r="C131" s="7">
        <f t="shared" si="11"/>
        <v>5</v>
      </c>
      <c r="D131" s="13">
        <v>1</v>
      </c>
      <c r="E131" s="14">
        <f t="shared" si="12"/>
        <v>9.9566587208726534E-2</v>
      </c>
      <c r="F131" s="14">
        <f t="shared" si="13"/>
        <v>9.9523102151894971E-2</v>
      </c>
    </row>
    <row r="132" spans="2:6" x14ac:dyDescent="0.2">
      <c r="B132" s="15">
        <v>28.25</v>
      </c>
      <c r="C132" s="7">
        <f t="shared" si="11"/>
        <v>5</v>
      </c>
      <c r="D132" s="13">
        <v>1</v>
      </c>
      <c r="E132" s="14">
        <f t="shared" si="12"/>
        <v>9.8685835042157208E-2</v>
      </c>
      <c r="F132" s="14">
        <f t="shared" si="13"/>
        <v>9.8646079594369843E-2</v>
      </c>
    </row>
    <row r="133" spans="2:6" x14ac:dyDescent="0.2">
      <c r="B133" s="15">
        <v>28.5</v>
      </c>
      <c r="C133" s="7">
        <f t="shared" si="11"/>
        <v>5</v>
      </c>
      <c r="D133" s="13">
        <v>1</v>
      </c>
      <c r="E133" s="14">
        <f t="shared" si="12"/>
        <v>9.7820503376060672E-2</v>
      </c>
      <c r="F133" s="14">
        <f t="shared" si="13"/>
        <v>9.7784157657693646E-2</v>
      </c>
    </row>
    <row r="134" spans="2:6" x14ac:dyDescent="0.2">
      <c r="B134" s="15">
        <v>28.75</v>
      </c>
      <c r="C134" s="7">
        <f t="shared" si="11"/>
        <v>5</v>
      </c>
      <c r="D134" s="13">
        <v>1</v>
      </c>
      <c r="E134" s="14">
        <f t="shared" si="12"/>
        <v>9.6970192597007107E-2</v>
      </c>
      <c r="F134" s="14">
        <f t="shared" si="13"/>
        <v>9.693696416374481E-2</v>
      </c>
    </row>
    <row r="135" spans="2:6" x14ac:dyDescent="0.2">
      <c r="B135" s="15">
        <v>29</v>
      </c>
      <c r="C135" s="7">
        <f t="shared" si="11"/>
        <v>5</v>
      </c>
      <c r="D135" s="13">
        <v>1</v>
      </c>
      <c r="E135" s="14">
        <f t="shared" si="12"/>
        <v>9.6134516645122847E-2</v>
      </c>
      <c r="F135" s="14">
        <f t="shared" si="13"/>
        <v>9.6104138134897321E-2</v>
      </c>
    </row>
    <row r="136" spans="2:6" x14ac:dyDescent="0.2">
      <c r="B136" s="15">
        <v>29.25</v>
      </c>
      <c r="C136" s="7">
        <f t="shared" si="11"/>
        <v>5</v>
      </c>
      <c r="D136" s="13">
        <v>1</v>
      </c>
      <c r="E136" s="14">
        <f t="shared" si="12"/>
        <v>9.531310245411502E-2</v>
      </c>
      <c r="F136" s="14">
        <f t="shared" si="13"/>
        <v>9.528532943586171E-2</v>
      </c>
    </row>
    <row r="137" spans="2:6" x14ac:dyDescent="0.2">
      <c r="B137" s="15">
        <v>29.5</v>
      </c>
      <c r="C137" s="7">
        <f t="shared" si="11"/>
        <v>5</v>
      </c>
      <c r="D137" s="13">
        <v>1</v>
      </c>
      <c r="E137" s="14">
        <f t="shared" si="12"/>
        <v>9.4505589418133307E-2</v>
      </c>
      <c r="F137" s="14">
        <f t="shared" si="13"/>
        <v>9.4480198425053924E-2</v>
      </c>
    </row>
    <row r="138" spans="2:6" x14ac:dyDescent="0.2">
      <c r="B138" s="15">
        <v>29.75</v>
      </c>
      <c r="C138" s="7">
        <f t="shared" si="11"/>
        <v>5</v>
      </c>
      <c r="D138" s="13">
        <v>1</v>
      </c>
      <c r="E138" s="14">
        <f t="shared" si="12"/>
        <v>9.3711628884029952E-2</v>
      </c>
      <c r="F138" s="14">
        <f t="shared" si="13"/>
        <v>9.3688415615537576E-2</v>
      </c>
    </row>
    <row r="139" spans="2:6" x14ac:dyDescent="0.2">
      <c r="B139" s="15">
        <v>30</v>
      </c>
      <c r="C139" s="7">
        <f t="shared" si="11"/>
        <v>5</v>
      </c>
      <c r="D139" s="13">
        <v>1</v>
      </c>
      <c r="E139" s="14">
        <f t="shared" si="12"/>
        <v>9.2930883667661987E-2</v>
      </c>
      <c r="F139" s="14">
        <f t="shared" si="13"/>
        <v>9.2909661345541142E-2</v>
      </c>
    </row>
  </sheetData>
  <scenarios current="2" show="2">
    <scenario name="use_all"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all_except_20"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key"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 name="use_key_except_30"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s>
  <mergeCells count="1">
    <mergeCell ref="C3: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4"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5"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sheetPr codeName="Sheet1"/>
  <dimension ref="B2:D12"/>
  <sheetViews>
    <sheetView showGridLines="0" zoomScale="150" zoomScaleNormal="150" workbookViewId="0">
      <selection activeCell="C5" sqref="C5"/>
    </sheetView>
  </sheetViews>
  <sheetFormatPr baseColWidth="10" defaultRowHeight="15" x14ac:dyDescent="0.2"/>
  <cols>
    <col min="1" max="16384" width="10.83203125" style="1"/>
  </cols>
  <sheetData>
    <row r="2" spans="2:4" x14ac:dyDescent="0.2">
      <c r="C2" s="29" t="s">
        <v>50</v>
      </c>
      <c r="D2" s="29" t="s">
        <v>51</v>
      </c>
    </row>
    <row r="3" spans="2:4" x14ac:dyDescent="0.2">
      <c r="B3" s="28" t="s">
        <v>43</v>
      </c>
      <c r="C3" s="30">
        <v>3.95E-2</v>
      </c>
      <c r="D3" s="30">
        <v>3.95E-2</v>
      </c>
    </row>
    <row r="4" spans="2:4" x14ac:dyDescent="0.2">
      <c r="B4" s="28" t="s">
        <v>44</v>
      </c>
      <c r="C4" s="30">
        <v>3.95E-2</v>
      </c>
    </row>
    <row r="5" spans="2:4" x14ac:dyDescent="0.2">
      <c r="B5" s="28" t="s">
        <v>47</v>
      </c>
      <c r="C5" s="31">
        <v>2</v>
      </c>
    </row>
    <row r="6" spans="2:4" x14ac:dyDescent="0.2">
      <c r="B6" s="28" t="s">
        <v>48</v>
      </c>
      <c r="C6" s="32">
        <f ca="1">TODAY()</f>
        <v>45579</v>
      </c>
    </row>
    <row r="7" spans="2:4" x14ac:dyDescent="0.2">
      <c r="B7" s="28" t="s">
        <v>49</v>
      </c>
      <c r="C7" s="32">
        <f ca="1">C6+C5*365.25</f>
        <v>46309.5</v>
      </c>
    </row>
    <row r="8" spans="2:4" x14ac:dyDescent="0.2">
      <c r="B8" s="28" t="s">
        <v>45</v>
      </c>
      <c r="C8" s="7">
        <f ca="1">MDURATION(C6,C7,C4,C3,1)</f>
        <v>1.8874468128917381</v>
      </c>
    </row>
    <row r="9" spans="2:4" x14ac:dyDescent="0.2">
      <c r="B9" s="28" t="s">
        <v>46</v>
      </c>
      <c r="C9" s="7">
        <f ca="1">PRICE(C6,C7,C4,C3,100,1)</f>
        <v>99.999999999999986</v>
      </c>
      <c r="D9" s="7">
        <f ca="1">PRICE(C6,C7,C4,D3,100,1)</f>
        <v>99.999999999999986</v>
      </c>
    </row>
    <row r="11" spans="2:4" x14ac:dyDescent="0.2">
      <c r="C11" s="28" t="s">
        <v>52</v>
      </c>
      <c r="D11" s="26">
        <f ca="1">D9/C9-1</f>
        <v>0</v>
      </c>
    </row>
    <row r="12" spans="2:4" x14ac:dyDescent="0.2">
      <c r="C12" s="28" t="s">
        <v>53</v>
      </c>
      <c r="D12" s="26">
        <f ca="1">(D3-C3)*-C8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workbookViewId="0"/>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3.5" style="1" customWidth="1"/>
    <col min="19" max="19" width="10.83203125" style="1"/>
    <col min="20" max="20" width="3.83203125" style="1" customWidth="1"/>
    <col min="21" max="21" width="10.83203125" style="1"/>
    <col min="22" max="25" width="11.5" customWidth="1"/>
    <col min="26" max="16384" width="10.83203125" style="1"/>
  </cols>
  <sheetData>
    <row r="1" spans="10:25" x14ac:dyDescent="0.2">
      <c r="M1" s="1"/>
      <c r="N1" s="1"/>
      <c r="O1" s="1"/>
      <c r="V1" s="1"/>
      <c r="W1" s="1"/>
      <c r="X1" s="1"/>
      <c r="Y1" s="1"/>
    </row>
    <row r="2" spans="10:25" x14ac:dyDescent="0.2">
      <c r="M2" s="1"/>
      <c r="N2" s="1"/>
      <c r="O2" s="1"/>
      <c r="V2" s="1"/>
      <c r="W2" s="1"/>
      <c r="X2" s="1"/>
      <c r="Y2" s="1"/>
    </row>
    <row r="3" spans="10:25" x14ac:dyDescent="0.2">
      <c r="J3" s="23"/>
      <c r="K3" s="23" t="s">
        <v>33</v>
      </c>
      <c r="L3" s="23" t="s">
        <v>34</v>
      </c>
      <c r="M3" s="23" t="s">
        <v>3</v>
      </c>
      <c r="N3" s="23" t="s">
        <v>33</v>
      </c>
      <c r="O3" s="23" t="s">
        <v>34</v>
      </c>
      <c r="P3" s="23" t="s">
        <v>37</v>
      </c>
      <c r="Q3" s="23" t="s">
        <v>36</v>
      </c>
      <c r="V3" s="1"/>
      <c r="W3" s="1"/>
      <c r="X3" s="1"/>
      <c r="Y3" s="1"/>
    </row>
    <row r="4" spans="10:25" x14ac:dyDescent="0.2">
      <c r="J4" s="9" t="s">
        <v>5</v>
      </c>
      <c r="K4" s="12">
        <f>beta_0</f>
        <v>5</v>
      </c>
      <c r="L4" s="12">
        <v>4.9999433718913648</v>
      </c>
      <c r="M4" s="9">
        <v>0.25</v>
      </c>
      <c r="N4" s="7">
        <f>beta_0+beta_1*((1-EXP(-lambda*M4))/(lambda*M4))+beta_2*((1-EXP(-lambda*M4))/(lambda*M4)-EXP(-lambda*M4))</f>
        <v>5</v>
      </c>
      <c r="O4" s="33">
        <v>5</v>
      </c>
      <c r="P4" s="7">
        <f>beta_0_scen+beta_1_scen*((1-EXP(-lambda*M4))/(lambda*M4))+beta_2_scen*((1-EXP(-lambda*M4))/(lambda*M4)-EXP(-lambda*M4))</f>
        <v>4.9999971958724752</v>
      </c>
      <c r="Q4" s="7">
        <f>P4-O4</f>
        <v>-2.8041275248469333E-6</v>
      </c>
      <c r="V4" s="1"/>
      <c r="W4" s="1"/>
      <c r="X4" s="1"/>
      <c r="Y4" s="1"/>
    </row>
    <row r="5" spans="10:25" x14ac:dyDescent="0.2">
      <c r="J5" s="9" t="s">
        <v>6</v>
      </c>
      <c r="K5" s="12">
        <f>beta_1</f>
        <v>0</v>
      </c>
      <c r="L5" s="12">
        <v>5.3209987585773907E-5</v>
      </c>
      <c r="M5" s="9">
        <v>2</v>
      </c>
      <c r="N5" s="7">
        <f>beta_0+beta_1*((1-EXP(-lambda*M5))/(lambda*M5))+beta_2*((1-EXP(-lambda*M5))/(lambda*M5)-EXP(-lambda*M5))</f>
        <v>5</v>
      </c>
      <c r="O5" s="33">
        <v>5</v>
      </c>
      <c r="P5" s="7">
        <f>beta_0_scen+beta_1_scen*((1-EXP(-lambda*M5))/(lambda*M5))+beta_2_scen*((1-EXP(-lambda*M5))/(lambda*M5)-EXP(-lambda*M5))</f>
        <v>4.9999969962856863</v>
      </c>
      <c r="Q5" s="7">
        <f>P5-O5</f>
        <v>-3.0037143137207067E-6</v>
      </c>
      <c r="V5" s="1"/>
      <c r="W5" s="1"/>
      <c r="X5" s="1"/>
      <c r="Y5" s="1"/>
    </row>
    <row r="6" spans="10:25" x14ac:dyDescent="0.2">
      <c r="J6" s="9" t="s">
        <v>7</v>
      </c>
      <c r="K6" s="12">
        <f>beta_2</f>
        <v>0</v>
      </c>
      <c r="L6" s="12">
        <v>6.9359157419154709E-5</v>
      </c>
      <c r="M6" s="9">
        <v>5</v>
      </c>
      <c r="N6" s="7">
        <f>beta_0+beta_1*((1-EXP(-lambda*M6))/(lambda*M6))+beta_2*((1-EXP(-lambda*M6))/(lambda*M6)-EXP(-lambda*M6))</f>
        <v>5</v>
      </c>
      <c r="O6" s="33">
        <v>5</v>
      </c>
      <c r="P6" s="7">
        <f>beta_0_scen+beta_1_scen*((1-EXP(-lambda*M6))/(lambda*M6))+beta_2_scen*((1-EXP(-lambda*M6))/(lambda*M6)-EXP(-lambda*M6))</f>
        <v>4.9999888033731645</v>
      </c>
      <c r="Q6" s="7">
        <f>P6-O6</f>
        <v>-1.1196626835463519E-5</v>
      </c>
      <c r="S6" s="1" t="s">
        <v>35</v>
      </c>
      <c r="V6" s="1"/>
      <c r="W6" s="1"/>
      <c r="X6" s="1"/>
      <c r="Y6" s="1"/>
    </row>
    <row r="7" spans="10:25" x14ac:dyDescent="0.2">
      <c r="J7" s="9" t="s">
        <v>8</v>
      </c>
      <c r="K7" s="12">
        <f>lambda</f>
        <v>0.3586819</v>
      </c>
      <c r="L7" s="6"/>
      <c r="M7" s="9">
        <v>10</v>
      </c>
      <c r="N7" s="7">
        <f>beta_0+beta_1*((1-EXP(-lambda*M7))/(lambda*M7))+beta_2*((1-EXP(-lambda*M7))/(lambda*M7)-EXP(-lambda*M7))</f>
        <v>5</v>
      </c>
      <c r="O7" s="33">
        <v>5</v>
      </c>
      <c r="P7" s="7">
        <f>beta_0_scen+beta_1_scen*((1-EXP(-lambda*M7))/(lambda*M7))+beta_2_scen*((1-EXP(-lambda*M7))/(lambda*M7)-EXP(-lambda*M7))</f>
        <v>4.999974677600024</v>
      </c>
      <c r="Q7" s="7">
        <f>P7-O7</f>
        <v>-2.5322399975991061E-5</v>
      </c>
      <c r="S7" s="2">
        <f>SUMSQ(Q4:Q8)</f>
        <v>7.834738238907488E-10</v>
      </c>
      <c r="V7" s="1"/>
      <c r="W7" s="1"/>
      <c r="X7" s="1"/>
      <c r="Y7" s="1"/>
    </row>
    <row r="8" spans="10:25" x14ac:dyDescent="0.2">
      <c r="J8" s="9" t="s">
        <v>40</v>
      </c>
      <c r="K8" s="6">
        <f>hump_mat</f>
        <v>5</v>
      </c>
      <c r="L8" s="6"/>
      <c r="M8" s="6"/>
      <c r="N8" s="7"/>
      <c r="O8" s="6"/>
      <c r="P8" s="7"/>
      <c r="Q8" s="7"/>
      <c r="V8" s="1"/>
      <c r="W8" s="1"/>
      <c r="X8" s="1"/>
      <c r="Y8" s="1"/>
    </row>
    <row r="9" spans="10:25" x14ac:dyDescent="0.2">
      <c r="M9" s="1"/>
      <c r="N9" s="1"/>
      <c r="O9" s="1"/>
      <c r="V9" s="1"/>
      <c r="W9" s="1"/>
      <c r="X9" s="1"/>
      <c r="Y9" s="1"/>
    </row>
    <row r="10" spans="10:25" x14ac:dyDescent="0.2">
      <c r="M10" s="1"/>
      <c r="N10" s="1"/>
      <c r="O10" s="1"/>
      <c r="S10" s="1" t="s">
        <v>56</v>
      </c>
      <c r="V10" s="1"/>
      <c r="W10" s="1"/>
      <c r="X10" s="1"/>
      <c r="Y10" s="1"/>
    </row>
    <row r="11" spans="10:25" x14ac:dyDescent="0.2">
      <c r="J11" s="25" t="s">
        <v>38</v>
      </c>
      <c r="K11" s="5"/>
      <c r="L11" s="5"/>
      <c r="M11" s="5"/>
      <c r="N11" s="5"/>
      <c r="O11" s="5"/>
      <c r="P11" s="5"/>
      <c r="Q11" s="5"/>
      <c r="S11" s="31">
        <v>2</v>
      </c>
      <c r="V11" s="1"/>
      <c r="W11" s="1"/>
      <c r="X11" s="1"/>
      <c r="Y11" s="1"/>
    </row>
    <row r="12" spans="10:25" x14ac:dyDescent="0.2">
      <c r="J12" s="5" t="s">
        <v>25</v>
      </c>
      <c r="K12" s="5" t="s">
        <v>26</v>
      </c>
      <c r="L12" s="5" t="s">
        <v>31</v>
      </c>
      <c r="M12" s="5" t="s">
        <v>27</v>
      </c>
      <c r="N12" s="5" t="s">
        <v>28</v>
      </c>
      <c r="O12" s="5" t="s">
        <v>32</v>
      </c>
      <c r="P12" s="5" t="s">
        <v>29</v>
      </c>
      <c r="Q12" s="5" t="s">
        <v>30</v>
      </c>
      <c r="S12" s="1" t="s">
        <v>57</v>
      </c>
      <c r="V12" s="1"/>
      <c r="W12" s="1"/>
      <c r="X12" s="1"/>
      <c r="Y12" s="1"/>
    </row>
    <row r="13" spans="10:25" x14ac:dyDescent="0.2">
      <c r="J13" s="9">
        <v>0.25</v>
      </c>
      <c r="K13" s="7">
        <v>2.7000000000000001E-3</v>
      </c>
      <c r="L13" s="7">
        <f t="shared" ref="L13:L23" ca="1" si="0">IF(M13&gt;0,MDURATION(TODAY(), TODAY()+365.25*AVERAGE(J13:K13),M13%,M13%,1),J13)</f>
        <v>0.11904761904761904</v>
      </c>
      <c r="M13" s="7">
        <f t="shared" ref="M13:M23" si="1">beta_0+beta_1*((1-EXP(-lambda*J13))/(lambda*J13))+beta_2*((1-EXP(-lambda*J13))/(lambda*J13)-EXP(-lambda*J13))</f>
        <v>5</v>
      </c>
      <c r="N13" s="7">
        <f t="shared" ref="N13:N23" si="2">beta_0+beta_1*((1-EXP(-lambda*K13))/(lambda*K13))+beta_2*((1-EXP(-lambda*K13))/(lambda*K13)-EXP(-lambda*K13))</f>
        <v>5</v>
      </c>
      <c r="O13" s="39">
        <f>M13%/12</f>
        <v>4.1666666666666666E-3</v>
      </c>
      <c r="P13" s="39">
        <f t="shared" ref="P13:P23" ca="1" si="3">(N13%-M13%)*-L13</f>
        <v>0</v>
      </c>
      <c r="Q13" s="40">
        <f t="shared" ref="Q13:Q23" ca="1" si="4">O13+P13</f>
        <v>4.1666666666666666E-3</v>
      </c>
      <c r="S13" s="31">
        <v>10</v>
      </c>
      <c r="V13" s="1"/>
      <c r="W13" s="1"/>
      <c r="X13" s="1"/>
      <c r="Y13" s="1"/>
    </row>
    <row r="14" spans="10:25" x14ac:dyDescent="0.2">
      <c r="J14" s="9">
        <v>1</v>
      </c>
      <c r="K14" s="7">
        <v>2.7000000000000001E-3</v>
      </c>
      <c r="L14" s="7">
        <f t="shared" ca="1" si="0"/>
        <v>0.47883597883597889</v>
      </c>
      <c r="M14" s="7">
        <f t="shared" si="1"/>
        <v>5</v>
      </c>
      <c r="N14" s="7">
        <f t="shared" si="2"/>
        <v>5</v>
      </c>
      <c r="O14" s="39">
        <f t="shared" ref="O14:O23" si="5">M14%/12</f>
        <v>4.1666666666666666E-3</v>
      </c>
      <c r="P14" s="39">
        <f t="shared" ca="1" si="3"/>
        <v>0</v>
      </c>
      <c r="Q14" s="40">
        <f t="shared" ca="1" si="4"/>
        <v>4.1666666666666666E-3</v>
      </c>
      <c r="V14" s="1"/>
      <c r="W14" s="1"/>
      <c r="X14" s="1"/>
      <c r="Y14" s="1"/>
    </row>
    <row r="15" spans="10:25" x14ac:dyDescent="0.2">
      <c r="J15" s="9">
        <v>2</v>
      </c>
      <c r="K15" s="7">
        <f t="shared" ref="K15:K22" si="6">J15-1</f>
        <v>1</v>
      </c>
      <c r="L15" s="7">
        <f t="shared" ca="1" si="0"/>
        <v>1.383219954648526</v>
      </c>
      <c r="M15" s="7">
        <f t="shared" si="1"/>
        <v>5</v>
      </c>
      <c r="N15" s="7">
        <f t="shared" si="2"/>
        <v>5</v>
      </c>
      <c r="O15" s="39">
        <f t="shared" si="5"/>
        <v>4.1666666666666666E-3</v>
      </c>
      <c r="P15" s="39">
        <f t="shared" ca="1" si="3"/>
        <v>0</v>
      </c>
      <c r="Q15" s="40">
        <f t="shared" ca="1" si="4"/>
        <v>4.1666666666666666E-3</v>
      </c>
      <c r="V15" s="1"/>
      <c r="W15" s="1"/>
      <c r="X15" s="1"/>
      <c r="Y15" s="1"/>
    </row>
    <row r="16" spans="10:25" x14ac:dyDescent="0.2">
      <c r="J16" s="9">
        <v>3</v>
      </c>
      <c r="K16" s="7">
        <f t="shared" si="6"/>
        <v>2</v>
      </c>
      <c r="L16" s="7">
        <f t="shared" ca="1" si="0"/>
        <v>2.2497030558255044</v>
      </c>
      <c r="M16" s="7">
        <f t="shared" si="1"/>
        <v>5</v>
      </c>
      <c r="N16" s="7">
        <f t="shared" si="2"/>
        <v>5</v>
      </c>
      <c r="O16" s="39">
        <f t="shared" si="5"/>
        <v>4.1666666666666666E-3</v>
      </c>
      <c r="P16" s="39">
        <f t="shared" ca="1" si="3"/>
        <v>0</v>
      </c>
      <c r="Q16" s="40">
        <f t="shared" ca="1" si="4"/>
        <v>4.1666666666666666E-3</v>
      </c>
      <c r="V16" s="1"/>
      <c r="W16" s="1"/>
      <c r="X16" s="1"/>
      <c r="Y16" s="1"/>
    </row>
    <row r="17" spans="10:25" x14ac:dyDescent="0.2">
      <c r="J17" s="9">
        <v>4</v>
      </c>
      <c r="K17" s="7">
        <f t="shared" si="6"/>
        <v>3</v>
      </c>
      <c r="L17" s="7">
        <f t="shared" ca="1" si="0"/>
        <v>3.069760027971884</v>
      </c>
      <c r="M17" s="7">
        <f t="shared" si="1"/>
        <v>5</v>
      </c>
      <c r="N17" s="7">
        <f t="shared" si="2"/>
        <v>5</v>
      </c>
      <c r="O17" s="39">
        <f t="shared" si="5"/>
        <v>4.1666666666666666E-3</v>
      </c>
      <c r="P17" s="39">
        <f t="shared" ca="1" si="3"/>
        <v>0</v>
      </c>
      <c r="Q17" s="40">
        <f t="shared" ca="1" si="4"/>
        <v>4.1666666666666666E-3</v>
      </c>
      <c r="V17" s="1"/>
      <c r="W17" s="1"/>
      <c r="X17" s="1"/>
      <c r="Y17" s="1"/>
    </row>
    <row r="18" spans="10:25" x14ac:dyDescent="0.2">
      <c r="J18" s="9">
        <v>5</v>
      </c>
      <c r="K18" s="7">
        <f t="shared" si="6"/>
        <v>4</v>
      </c>
      <c r="L18" s="7">
        <f t="shared" ca="1" si="0"/>
        <v>3.8532861944403427</v>
      </c>
      <c r="M18" s="7">
        <f t="shared" si="1"/>
        <v>5</v>
      </c>
      <c r="N18" s="7">
        <f t="shared" si="2"/>
        <v>5</v>
      </c>
      <c r="O18" s="39">
        <f t="shared" si="5"/>
        <v>4.1666666666666666E-3</v>
      </c>
      <c r="P18" s="39">
        <f t="shared" ca="1" si="3"/>
        <v>0</v>
      </c>
      <c r="Q18" s="40">
        <f t="shared" ca="1" si="4"/>
        <v>4.1666666666666666E-3</v>
      </c>
      <c r="V18" s="1"/>
      <c r="W18" s="1"/>
      <c r="X18" s="1"/>
      <c r="Y18" s="1"/>
    </row>
    <row r="19" spans="10:25" x14ac:dyDescent="0.2">
      <c r="J19" s="9">
        <v>6</v>
      </c>
      <c r="K19" s="7">
        <f t="shared" si="6"/>
        <v>5</v>
      </c>
      <c r="L19" s="7">
        <f t="shared" ca="1" si="0"/>
        <v>4.5995015910769705</v>
      </c>
      <c r="M19" s="7">
        <f t="shared" si="1"/>
        <v>5</v>
      </c>
      <c r="N19" s="7">
        <f t="shared" si="2"/>
        <v>5</v>
      </c>
      <c r="O19" s="39">
        <f t="shared" si="5"/>
        <v>4.1666666666666666E-3</v>
      </c>
      <c r="P19" s="39">
        <f t="shared" ca="1" si="3"/>
        <v>0</v>
      </c>
      <c r="Q19" s="40">
        <f t="shared" ca="1" si="4"/>
        <v>4.1666666666666666E-3</v>
      </c>
      <c r="V19" s="1"/>
      <c r="W19" s="1"/>
      <c r="X19" s="1"/>
      <c r="Y19" s="1"/>
    </row>
    <row r="20" spans="10:25" x14ac:dyDescent="0.2">
      <c r="J20" s="9">
        <v>7</v>
      </c>
      <c r="K20" s="7">
        <f t="shared" si="6"/>
        <v>6</v>
      </c>
      <c r="L20" s="7">
        <f t="shared" ca="1" si="0"/>
        <v>5.3128284238525953</v>
      </c>
      <c r="M20" s="7">
        <f t="shared" si="1"/>
        <v>5</v>
      </c>
      <c r="N20" s="7">
        <f t="shared" si="2"/>
        <v>5</v>
      </c>
      <c r="O20" s="39">
        <f t="shared" si="5"/>
        <v>4.1666666666666666E-3</v>
      </c>
      <c r="P20" s="39">
        <f t="shared" ca="1" si="3"/>
        <v>0</v>
      </c>
      <c r="Q20" s="40">
        <f t="shared" ca="1" si="4"/>
        <v>4.1666666666666666E-3</v>
      </c>
      <c r="V20" s="1"/>
      <c r="W20" s="1"/>
      <c r="X20" s="1"/>
      <c r="Y20" s="1"/>
    </row>
    <row r="21" spans="10:25" x14ac:dyDescent="0.2">
      <c r="J21" s="9">
        <v>8</v>
      </c>
      <c r="K21" s="7">
        <f t="shared" si="6"/>
        <v>7</v>
      </c>
      <c r="L21" s="7">
        <f t="shared" ca="1" si="0"/>
        <v>5.9870222832357793</v>
      </c>
      <c r="M21" s="7">
        <f t="shared" si="1"/>
        <v>5</v>
      </c>
      <c r="N21" s="7">
        <f t="shared" si="2"/>
        <v>5</v>
      </c>
      <c r="O21" s="39">
        <f t="shared" si="5"/>
        <v>4.1666666666666666E-3</v>
      </c>
      <c r="P21" s="39">
        <f t="shared" ca="1" si="3"/>
        <v>0</v>
      </c>
      <c r="Q21" s="40">
        <f t="shared" ca="1" si="4"/>
        <v>4.1666666666666666E-3</v>
      </c>
      <c r="V21" s="1"/>
      <c r="W21" s="1"/>
      <c r="X21" s="1"/>
      <c r="Y21" s="1"/>
    </row>
    <row r="22" spans="10:25" x14ac:dyDescent="0.2">
      <c r="J22" s="9">
        <v>9</v>
      </c>
      <c r="K22" s="7">
        <f t="shared" si="6"/>
        <v>8</v>
      </c>
      <c r="L22" s="7">
        <f t="shared" ca="1" si="0"/>
        <v>6.6316311994535768</v>
      </c>
      <c r="M22" s="7">
        <f t="shared" si="1"/>
        <v>5</v>
      </c>
      <c r="N22" s="7">
        <f t="shared" si="2"/>
        <v>5</v>
      </c>
      <c r="O22" s="39">
        <f t="shared" si="5"/>
        <v>4.1666666666666666E-3</v>
      </c>
      <c r="P22" s="39">
        <f t="shared" ca="1" si="3"/>
        <v>0</v>
      </c>
      <c r="Q22" s="40">
        <f t="shared" ca="1" si="4"/>
        <v>4.1666666666666666E-3</v>
      </c>
      <c r="V22" s="1"/>
      <c r="W22" s="1"/>
      <c r="X22" s="1"/>
      <c r="Y22" s="1"/>
    </row>
    <row r="23" spans="10:25" x14ac:dyDescent="0.2">
      <c r="J23" s="9">
        <v>10</v>
      </c>
      <c r="K23" s="7">
        <f>J23-1</f>
        <v>9</v>
      </c>
      <c r="L23" s="7">
        <f t="shared" ca="1" si="0"/>
        <v>7.2455444529943351</v>
      </c>
      <c r="M23" s="7">
        <f t="shared" si="1"/>
        <v>5</v>
      </c>
      <c r="N23" s="7">
        <f t="shared" si="2"/>
        <v>5</v>
      </c>
      <c r="O23" s="39">
        <f t="shared" si="5"/>
        <v>4.1666666666666666E-3</v>
      </c>
      <c r="P23" s="39">
        <f t="shared" ca="1" si="3"/>
        <v>0</v>
      </c>
      <c r="Q23" s="40">
        <f t="shared" ca="1" si="4"/>
        <v>4.1666666666666666E-3</v>
      </c>
      <c r="V23" s="1"/>
      <c r="W23" s="1"/>
      <c r="X23" s="1"/>
      <c r="Y23" s="1"/>
    </row>
    <row r="24" spans="10:25" x14ac:dyDescent="0.2">
      <c r="M24" s="1"/>
      <c r="N24" s="1"/>
      <c r="O24" s="1"/>
      <c r="V24" s="1"/>
      <c r="W24" s="1"/>
      <c r="X24" s="1"/>
      <c r="Y24" s="1"/>
    </row>
    <row r="25" spans="10:25" x14ac:dyDescent="0.2">
      <c r="J25" s="27" t="s">
        <v>39</v>
      </c>
      <c r="K25" s="10"/>
      <c r="L25" s="10"/>
      <c r="M25" s="10"/>
      <c r="N25" s="10"/>
      <c r="O25" s="10"/>
      <c r="P25" s="10"/>
      <c r="Q25" s="10"/>
      <c r="V25" s="1"/>
      <c r="W25" s="1"/>
      <c r="X25" s="1"/>
      <c r="Y25" s="1"/>
    </row>
    <row r="26" spans="10:25" x14ac:dyDescent="0.2">
      <c r="J26" s="10" t="s">
        <v>25</v>
      </c>
      <c r="K26" s="10" t="s">
        <v>26</v>
      </c>
      <c r="L26" s="10" t="s">
        <v>31</v>
      </c>
      <c r="M26" s="10" t="s">
        <v>27</v>
      </c>
      <c r="N26" s="10" t="s">
        <v>28</v>
      </c>
      <c r="O26" s="10" t="s">
        <v>32</v>
      </c>
      <c r="P26" s="10" t="s">
        <v>29</v>
      </c>
      <c r="Q26" s="10" t="s">
        <v>30</v>
      </c>
      <c r="V26" s="1"/>
      <c r="W26" s="1"/>
      <c r="X26" s="1"/>
      <c r="Y26" s="1"/>
    </row>
    <row r="27" spans="10:25" x14ac:dyDescent="0.2">
      <c r="J27" s="9">
        <v>0.25</v>
      </c>
      <c r="K27" s="7">
        <v>2.7000000000000001E-3</v>
      </c>
      <c r="L27" s="7">
        <f t="shared" ref="L27:L37" ca="1" si="7">IF(M27&gt;0,MDURATION(TODAY(), TODAY()+365.25*AVERAGE(J27:K27),M27%,M27%,1),J27)</f>
        <v>0.11904761904761904</v>
      </c>
      <c r="M27" s="7">
        <f t="shared" ref="M27:M37" si="8">beta_0+beta_1*((1-EXP(-lambda*J27))/(lambda*J27))+beta_2*((1-EXP(-lambda*J27))/(lambda*J27)-EXP(-lambda*J27))</f>
        <v>5</v>
      </c>
      <c r="N27" s="7">
        <f t="shared" ref="N27:N37" si="9">beta_0_scen+beta_1_scen*((1-EXP(-lambda*K27))/(lambda*K27))+beta_2_scen*((1-EXP(-lambda*K27))/(lambda*K27)-EXP(-lambda*K27))</f>
        <v>4.9999965896853507</v>
      </c>
      <c r="O27" s="39">
        <f>M27%/12</f>
        <v>4.1666666666666666E-3</v>
      </c>
      <c r="P27" s="39">
        <f t="shared" ref="P27:P37" ca="1" si="10">(N27%-M27%)*-L27</f>
        <v>4.0598983921748461E-9</v>
      </c>
      <c r="Q27" s="39">
        <f t="shared" ref="Q27:Q37" ca="1" si="11">O27+P27</f>
        <v>4.1666707265650589E-3</v>
      </c>
      <c r="V27" s="1"/>
      <c r="W27" s="1"/>
      <c r="X27" s="1"/>
      <c r="Y27" s="1"/>
    </row>
    <row r="28" spans="10:25" x14ac:dyDescent="0.2">
      <c r="J28" s="9">
        <v>1</v>
      </c>
      <c r="K28" s="7">
        <v>2.7000000000000001E-3</v>
      </c>
      <c r="L28" s="7">
        <f t="shared" ca="1" si="7"/>
        <v>0.47883597883597889</v>
      </c>
      <c r="M28" s="7">
        <f t="shared" si="8"/>
        <v>5</v>
      </c>
      <c r="N28" s="7">
        <f t="shared" si="9"/>
        <v>4.9999965896853507</v>
      </c>
      <c r="O28" s="39">
        <f t="shared" ref="O28:O37" si="12">M28%/12</f>
        <v>4.1666666666666666E-3</v>
      </c>
      <c r="P28" s="39">
        <f t="shared" ca="1" si="10"/>
        <v>1.632981353296994E-8</v>
      </c>
      <c r="Q28" s="39">
        <f t="shared" ca="1" si="11"/>
        <v>4.1666829964801992E-3</v>
      </c>
      <c r="V28" s="1"/>
      <c r="W28" s="1"/>
      <c r="X28" s="1"/>
      <c r="Y28" s="1"/>
    </row>
    <row r="29" spans="10:25" x14ac:dyDescent="0.2">
      <c r="J29" s="9">
        <v>2</v>
      </c>
      <c r="K29" s="7">
        <f>J29-1</f>
        <v>1</v>
      </c>
      <c r="L29" s="7">
        <f t="shared" ca="1" si="7"/>
        <v>1.383219954648526</v>
      </c>
      <c r="M29" s="7">
        <f t="shared" si="8"/>
        <v>5</v>
      </c>
      <c r="N29" s="7">
        <f t="shared" si="9"/>
        <v>4.9999979137221704</v>
      </c>
      <c r="O29" s="39">
        <f t="shared" si="12"/>
        <v>4.1666666666666666E-3</v>
      </c>
      <c r="P29" s="39">
        <f t="shared" ca="1" si="10"/>
        <v>2.8857811249271131E-8</v>
      </c>
      <c r="Q29" s="39">
        <f t="shared" ca="1" si="11"/>
        <v>4.1666955244779157E-3</v>
      </c>
      <c r="V29" s="1"/>
      <c r="W29" s="1"/>
      <c r="X29" s="1"/>
      <c r="Y29" s="1"/>
    </row>
    <row r="30" spans="10:25" x14ac:dyDescent="0.2">
      <c r="J30" s="9">
        <v>3</v>
      </c>
      <c r="K30" s="7">
        <f t="shared" ref="K30:K37" si="13">J30-1</f>
        <v>2</v>
      </c>
      <c r="L30" s="7">
        <f ca="1">IF(M30&gt;0,MDURATION(TODAY(), TODAY()+365.25*AVERAGE(J30:K30),M30%,M30%,1),J30)</f>
        <v>2.2497030558255044</v>
      </c>
      <c r="M30" s="7">
        <f t="shared" si="8"/>
        <v>5</v>
      </c>
      <c r="N30" s="7">
        <f t="shared" si="9"/>
        <v>4.9999969962856863</v>
      </c>
      <c r="O30" s="39">
        <f t="shared" si="12"/>
        <v>4.1666666666666666E-3</v>
      </c>
      <c r="P30" s="39">
        <f t="shared" ca="1" si="10"/>
        <v>6.7574652712160251E-8</v>
      </c>
      <c r="Q30" s="39">
        <f t="shared" ca="1" si="11"/>
        <v>4.1667342413193786E-3</v>
      </c>
      <c r="V30" s="1"/>
      <c r="W30" s="1"/>
      <c r="X30" s="1"/>
      <c r="Y30" s="1"/>
    </row>
    <row r="31" spans="10:25" x14ac:dyDescent="0.2">
      <c r="J31" s="9">
        <v>4</v>
      </c>
      <c r="K31" s="7">
        <f t="shared" si="13"/>
        <v>3</v>
      </c>
      <c r="L31" s="7">
        <f t="shared" ca="1" si="7"/>
        <v>3.069760027971884</v>
      </c>
      <c r="M31" s="7">
        <f t="shared" si="8"/>
        <v>5</v>
      </c>
      <c r="N31" s="7">
        <f t="shared" si="9"/>
        <v>4.9999947959403812</v>
      </c>
      <c r="O31" s="39">
        <f t="shared" si="12"/>
        <v>4.1666666666666666E-3</v>
      </c>
      <c r="P31" s="39">
        <f t="shared" ca="1" si="10"/>
        <v>1.5975214202650594E-7</v>
      </c>
      <c r="Q31" s="39">
        <f t="shared" ca="1" si="11"/>
        <v>4.1668264188086928E-3</v>
      </c>
      <c r="V31" s="1"/>
      <c r="W31" s="1"/>
      <c r="X31" s="1"/>
      <c r="Y31" s="1"/>
    </row>
    <row r="32" spans="10:25" x14ac:dyDescent="0.2">
      <c r="J32" s="9">
        <v>5</v>
      </c>
      <c r="K32" s="7">
        <f t="shared" si="13"/>
        <v>4</v>
      </c>
      <c r="L32" s="7">
        <f t="shared" ca="1" si="7"/>
        <v>3.8532861944403427</v>
      </c>
      <c r="M32" s="7">
        <f t="shared" si="8"/>
        <v>5</v>
      </c>
      <c r="N32" s="7">
        <f t="shared" si="9"/>
        <v>4.9999919343678156</v>
      </c>
      <c r="O32" s="39">
        <f t="shared" si="12"/>
        <v>4.1666666666666666E-3</v>
      </c>
      <c r="P32" s="39">
        <f t="shared" ca="1" si="10"/>
        <v>3.1079189145435644E-7</v>
      </c>
      <c r="Q32" s="39">
        <f t="shared" ca="1" si="11"/>
        <v>4.1669774585581208E-3</v>
      </c>
      <c r="V32" s="1"/>
      <c r="W32" s="1"/>
      <c r="X32" s="1"/>
      <c r="Y32" s="1"/>
    </row>
    <row r="33" spans="9:25" x14ac:dyDescent="0.2">
      <c r="J33" s="9">
        <v>6</v>
      </c>
      <c r="K33" s="7">
        <v>5</v>
      </c>
      <c r="L33" s="7">
        <f t="shared" ca="1" si="7"/>
        <v>4.5995015910769705</v>
      </c>
      <c r="M33" s="7">
        <f t="shared" si="8"/>
        <v>5</v>
      </c>
      <c r="N33" s="7">
        <f t="shared" si="9"/>
        <v>4.9999888033731645</v>
      </c>
      <c r="O33" s="39">
        <f t="shared" si="12"/>
        <v>4.1666666666666666E-3</v>
      </c>
      <c r="P33" s="39">
        <f t="shared" ca="1" si="10"/>
        <v>5.1498902944154235E-7</v>
      </c>
      <c r="Q33" s="39">
        <f t="shared" ca="1" si="11"/>
        <v>4.1671816556961084E-3</v>
      </c>
      <c r="V33" s="1"/>
      <c r="W33" s="1"/>
      <c r="X33" s="1"/>
      <c r="Y33" s="1"/>
    </row>
    <row r="34" spans="9:25" x14ac:dyDescent="0.2">
      <c r="J34" s="9">
        <v>7</v>
      </c>
      <c r="K34" s="7">
        <f t="shared" si="13"/>
        <v>6</v>
      </c>
      <c r="L34" s="7">
        <f t="shared" ca="1" si="7"/>
        <v>5.3128284238525953</v>
      </c>
      <c r="M34" s="7">
        <f t="shared" si="8"/>
        <v>5</v>
      </c>
      <c r="N34" s="7">
        <f t="shared" si="9"/>
        <v>4.999985642710409</v>
      </c>
      <c r="O34" s="39">
        <f t="shared" si="12"/>
        <v>4.1666666666666666E-3</v>
      </c>
      <c r="P34" s="39">
        <f t="shared" ca="1" si="10"/>
        <v>7.6277816229783045E-7</v>
      </c>
      <c r="Q34" s="39">
        <f t="shared" ca="1" si="11"/>
        <v>4.1674294448289647E-3</v>
      </c>
      <c r="V34" s="1"/>
      <c r="W34" s="1"/>
      <c r="X34" s="1"/>
      <c r="Y34" s="1"/>
    </row>
    <row r="35" spans="9:25" x14ac:dyDescent="0.2">
      <c r="J35" s="9">
        <v>8</v>
      </c>
      <c r="K35" s="7">
        <f t="shared" si="13"/>
        <v>7</v>
      </c>
      <c r="L35" s="7">
        <f t="shared" ca="1" si="7"/>
        <v>5.9870222832357793</v>
      </c>
      <c r="M35" s="7">
        <f t="shared" si="8"/>
        <v>5</v>
      </c>
      <c r="N35" s="7">
        <f t="shared" si="9"/>
        <v>4.9999825926122501</v>
      </c>
      <c r="O35" s="39">
        <f t="shared" si="12"/>
        <v>4.1666666666666666E-3</v>
      </c>
      <c r="P35" s="39">
        <f t="shared" ca="1" si="10"/>
        <v>1.0421841835215062E-6</v>
      </c>
      <c r="Q35" s="39">
        <f t="shared" ca="1" si="11"/>
        <v>4.1677088508501881E-3</v>
      </c>
      <c r="V35" s="1"/>
      <c r="W35" s="1"/>
      <c r="X35" s="1"/>
      <c r="Y35" s="1"/>
    </row>
    <row r="36" spans="9:25" x14ac:dyDescent="0.2">
      <c r="J36" s="9">
        <v>9</v>
      </c>
      <c r="K36" s="7">
        <f t="shared" si="13"/>
        <v>8</v>
      </c>
      <c r="L36" s="7">
        <f t="shared" ca="1" si="7"/>
        <v>6.6316311994535768</v>
      </c>
      <c r="M36" s="7">
        <f t="shared" si="8"/>
        <v>5</v>
      </c>
      <c r="N36" s="7">
        <f t="shared" si="9"/>
        <v>4.9999797290644352</v>
      </c>
      <c r="O36" s="39">
        <f t="shared" si="12"/>
        <v>4.1666666666666666E-3</v>
      </c>
      <c r="P36" s="39">
        <f t="shared" ca="1" si="10"/>
        <v>1.3442936873388433E-6</v>
      </c>
      <c r="Q36" s="39">
        <f t="shared" ca="1" si="11"/>
        <v>4.1680109603540053E-3</v>
      </c>
      <c r="V36" s="1"/>
      <c r="W36" s="1"/>
      <c r="X36" s="1"/>
      <c r="Y36" s="1"/>
    </row>
    <row r="37" spans="9:25" x14ac:dyDescent="0.2">
      <c r="J37" s="9">
        <v>10</v>
      </c>
      <c r="K37" s="7">
        <f t="shared" si="13"/>
        <v>9</v>
      </c>
      <c r="L37" s="7">
        <f t="shared" ca="1" si="7"/>
        <v>7.2455444529943351</v>
      </c>
      <c r="M37" s="7">
        <f t="shared" si="8"/>
        <v>5</v>
      </c>
      <c r="N37" s="7">
        <f t="shared" si="9"/>
        <v>4.9999770873435638</v>
      </c>
      <c r="O37" s="39">
        <f t="shared" si="12"/>
        <v>4.1666666666666666E-3</v>
      </c>
      <c r="P37" s="39">
        <f t="shared" ca="1" si="10"/>
        <v>1.6601467074867421E-6</v>
      </c>
      <c r="Q37" s="39">
        <f t="shared" ca="1" si="11"/>
        <v>4.1683268133741536E-3</v>
      </c>
      <c r="V37" s="1"/>
      <c r="W37" s="1"/>
      <c r="X37" s="1"/>
      <c r="Y37" s="1"/>
    </row>
    <row r="38" spans="9:25" x14ac:dyDescent="0.2">
      <c r="M38" s="1"/>
      <c r="N38" s="1"/>
      <c r="O38" s="1"/>
      <c r="V38" s="1"/>
      <c r="W38" s="1"/>
      <c r="X38" s="1"/>
      <c r="Y38" s="1"/>
    </row>
    <row r="39" spans="9:25" x14ac:dyDescent="0.2">
      <c r="J39" s="34" t="s">
        <v>55</v>
      </c>
      <c r="K39" s="35"/>
      <c r="L39" s="35"/>
      <c r="M39" s="35"/>
      <c r="N39" s="35"/>
      <c r="O39" s="35"/>
      <c r="P39" s="35"/>
      <c r="Q39" s="35"/>
      <c r="V39" s="1"/>
      <c r="W39" s="1"/>
      <c r="X39" s="1"/>
      <c r="Y39" s="1"/>
    </row>
    <row r="40" spans="9:25" x14ac:dyDescent="0.2">
      <c r="J40" s="35" t="s">
        <v>54</v>
      </c>
      <c r="K40" s="36" t="s">
        <v>60</v>
      </c>
      <c r="L40" s="35" t="s">
        <v>4</v>
      </c>
      <c r="M40" s="36" t="s">
        <v>61</v>
      </c>
      <c r="N40" s="35" t="s">
        <v>32</v>
      </c>
      <c r="O40" s="35" t="s">
        <v>58</v>
      </c>
      <c r="P40" s="35" t="s">
        <v>30</v>
      </c>
      <c r="Q40" s="35" t="s">
        <v>59</v>
      </c>
      <c r="V40" s="1"/>
      <c r="W40" s="1"/>
      <c r="X40" s="1"/>
      <c r="Y40" s="1"/>
    </row>
    <row r="41" spans="9:25" x14ac:dyDescent="0.2">
      <c r="I41" s="4">
        <v>0</v>
      </c>
      <c r="J41" s="7">
        <f t="shared" ref="J41:J53" si="14">scen_mat_a</f>
        <v>2</v>
      </c>
      <c r="K41" s="7">
        <f>J41-1/12</f>
        <v>1.9166666666666667</v>
      </c>
      <c r="L41" s="42">
        <f>beta_0+beta_1*((1-EXP(-lambda*J42))/(lambda*J42))+beta_2*((1-EXP(-lambda*J42))/(lambda*J42)-EXP(-lambda*J42))</f>
        <v>5</v>
      </c>
      <c r="M41" s="42">
        <f>beta_0+beta_1*((1-EXP(-lambda*K41))/(lambda*K41))+beta_2*((1-EXP(-lambda*K41))/(lambda*K41)-EXP(-lambda*K41))</f>
        <v>5</v>
      </c>
      <c r="N41" s="39"/>
      <c r="O41" s="39"/>
      <c r="P41" s="39"/>
      <c r="Q41" s="39">
        <v>0</v>
      </c>
      <c r="V41" s="1"/>
      <c r="W41" s="1"/>
      <c r="X41" s="1"/>
      <c r="Y41" s="1"/>
    </row>
    <row r="42" spans="9:25" x14ac:dyDescent="0.2">
      <c r="I42" s="4">
        <v>1</v>
      </c>
      <c r="J42" s="7">
        <f t="shared" si="14"/>
        <v>2</v>
      </c>
      <c r="K42" s="7">
        <f>J42-1/12</f>
        <v>1.9166666666666667</v>
      </c>
      <c r="L42" s="7">
        <f>L$41+$I42*(L$53-L$41)/12</f>
        <v>4.999999749690474</v>
      </c>
      <c r="M42" s="7">
        <f>M$41+$I42*(M$53-M$41)/12</f>
        <v>4.9999997610340614</v>
      </c>
      <c r="N42" s="39">
        <f>L41%/12</f>
        <v>4.1666666666666666E-3</v>
      </c>
      <c r="O42" s="39">
        <f ca="1">PRICE(TODAY(), TODAY()+K42*365.25, L41%,M42%,100,1)/100-1</f>
        <v>-9.2538611986436869E-5</v>
      </c>
      <c r="P42" s="39">
        <f ca="1">N42+O42</f>
        <v>4.0741280546802297E-3</v>
      </c>
      <c r="Q42" s="39">
        <f ca="1">(1+Q41)*(1+P42)-1</f>
        <v>4.074128054680326E-3</v>
      </c>
      <c r="V42" s="1"/>
      <c r="W42" s="1"/>
      <c r="X42" s="1"/>
      <c r="Y42" s="1"/>
    </row>
    <row r="43" spans="9:25" x14ac:dyDescent="0.2">
      <c r="I43" s="4">
        <v>2</v>
      </c>
      <c r="J43" s="7">
        <f t="shared" si="14"/>
        <v>2</v>
      </c>
      <c r="K43" s="7">
        <f t="shared" ref="K43:K53" si="15">J43-1/12</f>
        <v>1.9166666666666667</v>
      </c>
      <c r="L43" s="7">
        <f t="shared" ref="L43:L52" si="16">L$41+$I43*($L$53-$L$41)/12</f>
        <v>4.999999499380948</v>
      </c>
      <c r="M43" s="7">
        <f t="shared" ref="M43:M52" si="17">M$41+$I43*(M$53-M$41)/12</f>
        <v>4.9999995220681228</v>
      </c>
      <c r="N43" s="39">
        <f t="shared" ref="N43:N53" si="18">L42%/12</f>
        <v>4.1666664580753947E-3</v>
      </c>
      <c r="O43" s="39">
        <f t="shared" ref="O43:O53" ca="1" si="19">PRICE(TODAY(), TODAY()+K43*365.25, L42%,M43%,100,1)/100-1</f>
        <v>-9.2538805606445784E-5</v>
      </c>
      <c r="P43" s="39">
        <f t="shared" ref="P43:P53" ca="1" si="20">N43+O43</f>
        <v>4.074127652468949E-3</v>
      </c>
      <c r="Q43" s="39">
        <f t="shared" ref="Q43:Q53" ca="1" si="21">(1+Q42)*(1+P43)-1</f>
        <v>8.16485422491664E-3</v>
      </c>
      <c r="V43" s="1"/>
      <c r="W43" s="1"/>
      <c r="X43" s="1"/>
      <c r="Y43" s="1"/>
    </row>
    <row r="44" spans="9:25" x14ac:dyDescent="0.2">
      <c r="I44" s="4">
        <v>3</v>
      </c>
      <c r="J44" s="7">
        <f t="shared" si="14"/>
        <v>2</v>
      </c>
      <c r="K44" s="7">
        <f t="shared" si="15"/>
        <v>1.9166666666666667</v>
      </c>
      <c r="L44" s="7">
        <f t="shared" si="16"/>
        <v>4.999999249071422</v>
      </c>
      <c r="M44" s="7">
        <f t="shared" si="17"/>
        <v>4.9999992831021833</v>
      </c>
      <c r="N44" s="39">
        <f t="shared" si="18"/>
        <v>4.1666662494841229E-3</v>
      </c>
      <c r="O44" s="39">
        <f t="shared" ca="1" si="19"/>
        <v>-9.253899922601061E-5</v>
      </c>
      <c r="P44" s="39">
        <f t="shared" ca="1" si="20"/>
        <v>4.0741272502581123E-3</v>
      </c>
      <c r="Q44" s="39">
        <f t="shared" ca="1" si="21"/>
        <v>1.2272246130266673E-2</v>
      </c>
      <c r="V44" s="1"/>
      <c r="W44" s="1"/>
      <c r="X44" s="1"/>
      <c r="Y44" s="1"/>
    </row>
    <row r="45" spans="9:25" x14ac:dyDescent="0.2">
      <c r="I45" s="4">
        <v>4</v>
      </c>
      <c r="J45" s="7">
        <f t="shared" si="14"/>
        <v>2</v>
      </c>
      <c r="K45" s="7">
        <f t="shared" si="15"/>
        <v>1.9166666666666667</v>
      </c>
      <c r="L45" s="7">
        <f t="shared" si="16"/>
        <v>4.9999989987618951</v>
      </c>
      <c r="M45" s="7">
        <f t="shared" si="17"/>
        <v>4.9999990441362447</v>
      </c>
      <c r="N45" s="39">
        <f t="shared" si="18"/>
        <v>4.1666660408928519E-3</v>
      </c>
      <c r="O45" s="39">
        <f t="shared" ca="1" si="19"/>
        <v>-9.2539192846352591E-5</v>
      </c>
      <c r="P45" s="39">
        <f t="shared" ca="1" si="20"/>
        <v>4.0741268480464993E-3</v>
      </c>
      <c r="Q45" s="39">
        <f t="shared" ca="1" si="21"/>
        <v>1.6396371665758247E-2</v>
      </c>
      <c r="V45" s="1"/>
      <c r="W45" s="1"/>
      <c r="X45" s="1"/>
      <c r="Y45" s="1"/>
    </row>
    <row r="46" spans="9:25" x14ac:dyDescent="0.2">
      <c r="I46" s="4">
        <v>5</v>
      </c>
      <c r="J46" s="7">
        <f t="shared" si="14"/>
        <v>2</v>
      </c>
      <c r="K46" s="7">
        <f t="shared" si="15"/>
        <v>1.9166666666666667</v>
      </c>
      <c r="L46" s="7">
        <f t="shared" si="16"/>
        <v>4.9999987484523691</v>
      </c>
      <c r="M46" s="7">
        <f t="shared" si="17"/>
        <v>4.9999988051703061</v>
      </c>
      <c r="N46" s="39">
        <f t="shared" si="18"/>
        <v>4.1666658323015792E-3</v>
      </c>
      <c r="O46" s="39">
        <f t="shared" ca="1" si="19"/>
        <v>-9.2539386466250484E-5</v>
      </c>
      <c r="P46" s="39">
        <f t="shared" ca="1" si="20"/>
        <v>4.0741264458353287E-3</v>
      </c>
      <c r="Q46" s="39">
        <f t="shared" ca="1" si="21"/>
        <v>2.0537299003012821E-2</v>
      </c>
      <c r="V46" s="1"/>
      <c r="W46" s="1"/>
      <c r="X46" s="1"/>
      <c r="Y46" s="1"/>
    </row>
    <row r="47" spans="9:25" x14ac:dyDescent="0.2">
      <c r="I47" s="4">
        <v>6</v>
      </c>
      <c r="J47" s="7">
        <f t="shared" si="14"/>
        <v>2</v>
      </c>
      <c r="K47" s="7">
        <f t="shared" si="15"/>
        <v>1.9166666666666667</v>
      </c>
      <c r="L47" s="7">
        <f t="shared" si="16"/>
        <v>4.9999984981428431</v>
      </c>
      <c r="M47" s="7">
        <f t="shared" si="17"/>
        <v>4.9999985662043667</v>
      </c>
      <c r="N47" s="39">
        <f t="shared" si="18"/>
        <v>4.1666656237103082E-3</v>
      </c>
      <c r="O47" s="39">
        <f t="shared" ca="1" si="19"/>
        <v>-9.2539580086703488E-5</v>
      </c>
      <c r="P47" s="39">
        <f t="shared" ca="1" si="20"/>
        <v>4.0741260436236047E-3</v>
      </c>
      <c r="Q47" s="39">
        <f t="shared" ca="1" si="21"/>
        <v>2.4695096591370369E-2</v>
      </c>
      <c r="V47" s="1"/>
      <c r="W47" s="1"/>
      <c r="X47" s="1"/>
      <c r="Y47" s="1"/>
    </row>
    <row r="48" spans="9:25" x14ac:dyDescent="0.2">
      <c r="I48" s="4">
        <v>7</v>
      </c>
      <c r="J48" s="7">
        <f t="shared" si="14"/>
        <v>2</v>
      </c>
      <c r="K48" s="7">
        <f t="shared" si="15"/>
        <v>1.9166666666666667</v>
      </c>
      <c r="L48" s="7">
        <f t="shared" si="16"/>
        <v>4.9999982478333171</v>
      </c>
      <c r="M48" s="7">
        <f t="shared" si="17"/>
        <v>4.9999983272384281</v>
      </c>
      <c r="N48" s="39">
        <f t="shared" si="18"/>
        <v>4.1666654151190355E-3</v>
      </c>
      <c r="O48" s="39">
        <f t="shared" ca="1" si="19"/>
        <v>-9.253977370660138E-5</v>
      </c>
      <c r="P48" s="39">
        <f t="shared" ca="1" si="20"/>
        <v>4.0741256414124341E-3</v>
      </c>
      <c r="Q48" s="39">
        <f t="shared" ca="1" si="21"/>
        <v>2.8869833159022917E-2</v>
      </c>
      <c r="V48" s="1"/>
      <c r="W48" s="1"/>
      <c r="X48" s="1"/>
      <c r="Y48" s="1"/>
    </row>
    <row r="49" spans="9:25" x14ac:dyDescent="0.2">
      <c r="I49" s="4">
        <v>8</v>
      </c>
      <c r="J49" s="7">
        <f t="shared" si="14"/>
        <v>2</v>
      </c>
      <c r="K49" s="7">
        <f t="shared" si="15"/>
        <v>1.9166666666666667</v>
      </c>
      <c r="L49" s="7">
        <f t="shared" si="16"/>
        <v>4.9999979975237911</v>
      </c>
      <c r="M49" s="7">
        <f t="shared" si="17"/>
        <v>4.9999980882724895</v>
      </c>
      <c r="N49" s="39">
        <f t="shared" si="18"/>
        <v>4.1666652065277645E-3</v>
      </c>
      <c r="O49" s="39">
        <f t="shared" ca="1" si="19"/>
        <v>-9.253996732683234E-5</v>
      </c>
      <c r="P49" s="39">
        <f t="shared" ca="1" si="20"/>
        <v>4.0741252392009321E-3</v>
      </c>
      <c r="Q49" s="39">
        <f t="shared" ca="1" si="21"/>
        <v>3.3061577714148527E-2</v>
      </c>
      <c r="V49" s="1"/>
      <c r="W49" s="1"/>
      <c r="X49" s="1"/>
      <c r="Y49" s="1"/>
    </row>
    <row r="50" spans="9:25" x14ac:dyDescent="0.2">
      <c r="I50" s="4">
        <v>9</v>
      </c>
      <c r="J50" s="7">
        <f t="shared" si="14"/>
        <v>2</v>
      </c>
      <c r="K50" s="7">
        <f t="shared" si="15"/>
        <v>1.9166666666666667</v>
      </c>
      <c r="L50" s="7">
        <f t="shared" si="16"/>
        <v>4.9999977472142643</v>
      </c>
      <c r="M50" s="7">
        <f t="shared" si="17"/>
        <v>4.9999978493065509</v>
      </c>
      <c r="N50" s="39">
        <f t="shared" si="18"/>
        <v>4.1666649979364926E-3</v>
      </c>
      <c r="O50" s="39">
        <f t="shared" ca="1" si="19"/>
        <v>-9.2540160947063299E-5</v>
      </c>
      <c r="P50" s="39">
        <f t="shared" ca="1" si="20"/>
        <v>4.0741248369894293E-3</v>
      </c>
      <c r="Q50" s="39">
        <f t="shared" ca="1" si="21"/>
        <v>3.7270399546053046E-2</v>
      </c>
      <c r="V50" s="1"/>
      <c r="W50" s="1"/>
      <c r="X50" s="1"/>
      <c r="Y50" s="1"/>
    </row>
    <row r="51" spans="9:25" x14ac:dyDescent="0.2">
      <c r="I51" s="4">
        <v>10</v>
      </c>
      <c r="J51" s="7">
        <f t="shared" si="14"/>
        <v>2</v>
      </c>
      <c r="K51" s="7">
        <f t="shared" si="15"/>
        <v>1.9166666666666667</v>
      </c>
      <c r="L51" s="7">
        <f t="shared" si="16"/>
        <v>4.9999974969047383</v>
      </c>
      <c r="M51" s="7">
        <f t="shared" si="17"/>
        <v>4.9999976103406123</v>
      </c>
      <c r="N51" s="39">
        <f t="shared" si="18"/>
        <v>4.1666647893452207E-3</v>
      </c>
      <c r="O51" s="39">
        <f t="shared" ca="1" si="19"/>
        <v>-9.2540354567072214E-5</v>
      </c>
      <c r="P51" s="39">
        <f t="shared" ca="1" si="20"/>
        <v>4.0741244347781485E-3</v>
      </c>
      <c r="Q51" s="39">
        <f t="shared" ca="1" si="21"/>
        <v>4.1496368226315639E-2</v>
      </c>
      <c r="V51" s="1"/>
      <c r="W51" s="1"/>
      <c r="X51" s="1"/>
      <c r="Y51" s="1"/>
    </row>
    <row r="52" spans="9:25" x14ac:dyDescent="0.2">
      <c r="I52" s="4">
        <v>11</v>
      </c>
      <c r="J52" s="7">
        <f t="shared" si="14"/>
        <v>2</v>
      </c>
      <c r="K52" s="7">
        <f t="shared" si="15"/>
        <v>1.9166666666666667</v>
      </c>
      <c r="L52" s="7">
        <f t="shared" si="16"/>
        <v>4.9999972465952123</v>
      </c>
      <c r="M52" s="7">
        <f t="shared" si="17"/>
        <v>4.9999973713746728</v>
      </c>
      <c r="N52" s="39">
        <f t="shared" si="18"/>
        <v>4.166664580753948E-3</v>
      </c>
      <c r="O52" s="39">
        <f t="shared" ca="1" si="19"/>
        <v>-9.2540548186970106E-5</v>
      </c>
      <c r="P52" s="39">
        <f t="shared" ca="1" si="20"/>
        <v>4.0741240325669779E-3</v>
      </c>
      <c r="Q52" s="39">
        <f t="shared" ca="1" si="21"/>
        <v>4.5739553609937644E-2</v>
      </c>
      <c r="V52" s="1"/>
      <c r="W52" s="1"/>
      <c r="X52" s="1"/>
      <c r="Y52" s="1"/>
    </row>
    <row r="53" spans="9:25" x14ac:dyDescent="0.2">
      <c r="I53" s="4">
        <v>12</v>
      </c>
      <c r="J53" s="7">
        <f t="shared" si="14"/>
        <v>2</v>
      </c>
      <c r="K53" s="7">
        <f t="shared" si="15"/>
        <v>1.9166666666666667</v>
      </c>
      <c r="L53" s="42">
        <f>beta_0_scen+beta_1_scen*((1-EXP(-lambda*J53))/(lambda*J53))+beta_2_scen*((1-EXP(-lambda*J53))/(lambda*J53)-EXP(-lambda*J53))</f>
        <v>4.9999969962856863</v>
      </c>
      <c r="M53" s="42">
        <f>beta_0_scen+beta_1_scen*((1-EXP(-lambda*K53))/(lambda*K53))+beta_2_scen*((1-EXP(-lambda*K53))/(lambda*K53)-EXP(-lambda*K53))</f>
        <v>4.9999971324087342</v>
      </c>
      <c r="N53" s="39">
        <f t="shared" si="18"/>
        <v>4.166664372162677E-3</v>
      </c>
      <c r="O53" s="39">
        <f t="shared" ca="1" si="19"/>
        <v>-9.2540741806867999E-5</v>
      </c>
      <c r="P53" s="39">
        <f t="shared" ca="1" si="20"/>
        <v>4.074123630355809E-3</v>
      </c>
      <c r="Q53" s="41">
        <f t="shared" ca="1" si="21"/>
        <v>5.0000025836497652E-2</v>
      </c>
      <c r="V53" s="1"/>
      <c r="W53" s="1"/>
      <c r="X53" s="1"/>
      <c r="Y53" s="1"/>
    </row>
    <row r="54" spans="9:25" x14ac:dyDescent="0.2">
      <c r="I54" s="4"/>
      <c r="M54" s="1"/>
      <c r="N54" s="1"/>
      <c r="O54" s="1"/>
      <c r="V54" s="1"/>
      <c r="W54" s="1"/>
      <c r="X54" s="1"/>
      <c r="Y54" s="1"/>
    </row>
    <row r="55" spans="9:25" x14ac:dyDescent="0.2">
      <c r="I55" s="4"/>
      <c r="J55" s="37" t="s">
        <v>62</v>
      </c>
      <c r="K55" s="17"/>
      <c r="L55" s="17"/>
      <c r="M55" s="17"/>
      <c r="N55" s="17"/>
      <c r="O55" s="17"/>
      <c r="P55" s="17"/>
      <c r="Q55" s="17"/>
      <c r="V55" s="1"/>
      <c r="W55" s="1"/>
      <c r="X55" s="1"/>
      <c r="Y55" s="1"/>
    </row>
    <row r="56" spans="9:25" x14ac:dyDescent="0.2">
      <c r="I56" s="4"/>
      <c r="J56" s="17" t="s">
        <v>54</v>
      </c>
      <c r="K56" s="38" t="s">
        <v>60</v>
      </c>
      <c r="L56" s="17" t="s">
        <v>4</v>
      </c>
      <c r="M56" s="38" t="s">
        <v>61</v>
      </c>
      <c r="N56" s="17" t="s">
        <v>32</v>
      </c>
      <c r="O56" s="17" t="s">
        <v>58</v>
      </c>
      <c r="P56" s="17" t="s">
        <v>30</v>
      </c>
      <c r="Q56" s="17" t="s">
        <v>59</v>
      </c>
      <c r="V56" s="1"/>
      <c r="W56" s="1"/>
      <c r="X56" s="1"/>
      <c r="Y56" s="1"/>
    </row>
    <row r="57" spans="9:25" x14ac:dyDescent="0.2">
      <c r="I57" s="4">
        <v>0</v>
      </c>
      <c r="J57" s="7">
        <f t="shared" ref="J57:J69" si="22">scen_mat_b</f>
        <v>10</v>
      </c>
      <c r="K57" s="7">
        <f>J57-1/12</f>
        <v>9.9166666666666661</v>
      </c>
      <c r="L57" s="42">
        <f>beta_0+beta_1*((1-EXP(-lambda*J58))/(lambda*J58))+beta_2*((1-EXP(-lambda*J58))/(lambda*J58)-EXP(-lambda*J58))</f>
        <v>5</v>
      </c>
      <c r="M57" s="42">
        <f>beta_0+beta_1*((1-EXP(-lambda*K57))/(lambda*K57))+beta_2*((1-EXP(-lambda*K57))/(lambda*K57)-EXP(-lambda*K57))</f>
        <v>5</v>
      </c>
      <c r="N57" s="39"/>
      <c r="O57" s="39"/>
      <c r="P57" s="39"/>
      <c r="Q57" s="39">
        <v>0</v>
      </c>
      <c r="V57" s="1"/>
      <c r="W57" s="1"/>
      <c r="X57" s="1"/>
      <c r="Y57" s="1"/>
    </row>
    <row r="58" spans="9:25" x14ac:dyDescent="0.2">
      <c r="I58" s="4">
        <v>1</v>
      </c>
      <c r="J58" s="7">
        <f t="shared" si="22"/>
        <v>10</v>
      </c>
      <c r="K58" s="7">
        <f>J58-1/12</f>
        <v>9.9166666666666661</v>
      </c>
      <c r="L58" s="7">
        <f>L$57+$I58*(L$69-L$57)/12</f>
        <v>4.9999978898000021</v>
      </c>
      <c r="M58" s="7">
        <f>M$57+$I58*(M$69-M$57)/12</f>
        <v>4.9999979057998889</v>
      </c>
      <c r="N58" s="39">
        <f>L57%/12</f>
        <v>4.1666666666666666E-3</v>
      </c>
      <c r="O58" s="39">
        <f ca="1">PRICE(TODAY(), TODAY()+K58*365.25, L57%,M58%,100,1)/100-1</f>
        <v>-9.2382184434303127E-5</v>
      </c>
      <c r="P58" s="39">
        <f ca="1">N58+O58</f>
        <v>4.0742844822323635E-3</v>
      </c>
      <c r="Q58" s="39">
        <f ca="1">(1+Q57)*(1+P58)-1</f>
        <v>4.0742844822323487E-3</v>
      </c>
      <c r="V58" s="1"/>
      <c r="W58" s="1"/>
      <c r="X58" s="1"/>
      <c r="Y58" s="1"/>
    </row>
    <row r="59" spans="9:25" x14ac:dyDescent="0.2">
      <c r="I59" s="4">
        <v>2</v>
      </c>
      <c r="J59" s="7">
        <f t="shared" si="22"/>
        <v>10</v>
      </c>
      <c r="K59" s="7">
        <f t="shared" ref="K59:K69" si="23">J59-1/12</f>
        <v>9.9166666666666661</v>
      </c>
      <c r="L59" s="7">
        <f t="shared" ref="L59:M68" si="24">L$57+$I59*(L$69-L$57)/12</f>
        <v>4.9999957796000043</v>
      </c>
      <c r="M59" s="7">
        <f t="shared" si="24"/>
        <v>4.9999958115997769</v>
      </c>
      <c r="N59" s="39">
        <f t="shared" ref="N59:N69" si="25">L58%/12</f>
        <v>4.1666649081666682E-3</v>
      </c>
      <c r="O59" s="39">
        <f ca="1">PRICE(TODAY(), TODAY()+K59*365.25, L58%,M59%,100,1)/100-1</f>
        <v>-9.2383335256296384E-5</v>
      </c>
      <c r="P59" s="39">
        <f t="shared" ref="P59:P69" ca="1" si="26">N59+O59</f>
        <v>4.0742815729103718E-3</v>
      </c>
      <c r="Q59" s="39">
        <f t="shared" ref="Q59:Q69" ca="1" si="27">(1+Q58)*(1+P59)-1</f>
        <v>8.1651658373316227E-3</v>
      </c>
      <c r="V59" s="1"/>
      <c r="W59" s="1"/>
      <c r="X59" s="1"/>
      <c r="Y59" s="1"/>
    </row>
    <row r="60" spans="9:25" x14ac:dyDescent="0.2">
      <c r="I60" s="4">
        <v>3</v>
      </c>
      <c r="J60" s="7">
        <f t="shared" si="22"/>
        <v>10</v>
      </c>
      <c r="K60" s="7">
        <f t="shared" si="23"/>
        <v>9.9166666666666661</v>
      </c>
      <c r="L60" s="7">
        <f t="shared" si="24"/>
        <v>4.9999936694000056</v>
      </c>
      <c r="M60" s="7">
        <f t="shared" si="24"/>
        <v>4.9999937173996658</v>
      </c>
      <c r="N60" s="39">
        <f t="shared" si="25"/>
        <v>4.1666631496666698E-3</v>
      </c>
      <c r="O60" s="39">
        <f t="shared" ref="O60:O69" ca="1" si="28">PRICE(TODAY(), TODAY()+K60*365.25, L59%,M60%,100,1)/100-1</f>
        <v>-9.2384486078622707E-5</v>
      </c>
      <c r="P60" s="39">
        <f t="shared" ca="1" si="26"/>
        <v>4.0742786635880471E-3</v>
      </c>
      <c r="Q60" s="39">
        <f t="shared" ca="1" si="27"/>
        <v>1.2272711661875491E-2</v>
      </c>
      <c r="V60" s="1"/>
      <c r="W60" s="1"/>
      <c r="X60" s="1"/>
      <c r="Y60" s="1"/>
    </row>
    <row r="61" spans="9:25" x14ac:dyDescent="0.2">
      <c r="I61" s="4">
        <v>4</v>
      </c>
      <c r="J61" s="7">
        <f t="shared" si="22"/>
        <v>10</v>
      </c>
      <c r="K61" s="7">
        <f t="shared" si="23"/>
        <v>9.9166666666666661</v>
      </c>
      <c r="L61" s="7">
        <f t="shared" si="24"/>
        <v>4.9999915592000077</v>
      </c>
      <c r="M61" s="7">
        <f t="shared" si="24"/>
        <v>4.9999916231995547</v>
      </c>
      <c r="N61" s="39">
        <f t="shared" si="25"/>
        <v>4.1666613911666714E-3</v>
      </c>
      <c r="O61" s="39">
        <f t="shared" ca="1" si="28"/>
        <v>-9.2385636899727785E-5</v>
      </c>
      <c r="P61" s="39">
        <f t="shared" ca="1" si="26"/>
        <v>4.0742757542669436E-3</v>
      </c>
      <c r="Q61" s="39">
        <f t="shared" ca="1" si="27"/>
        <v>1.6396989827705433E-2</v>
      </c>
      <c r="V61" s="1"/>
      <c r="W61" s="1"/>
      <c r="X61" s="1"/>
      <c r="Y61" s="1"/>
    </row>
    <row r="62" spans="9:25" x14ac:dyDescent="0.2">
      <c r="I62" s="4">
        <v>5</v>
      </c>
      <c r="J62" s="7">
        <f t="shared" si="22"/>
        <v>10</v>
      </c>
      <c r="K62" s="7">
        <f t="shared" si="23"/>
        <v>9.9166666666666661</v>
      </c>
      <c r="L62" s="7">
        <f t="shared" si="24"/>
        <v>4.9999894490000099</v>
      </c>
      <c r="M62" s="7">
        <f t="shared" si="24"/>
        <v>4.9999895289994427</v>
      </c>
      <c r="N62" s="39">
        <f t="shared" si="25"/>
        <v>4.166659632666673E-3</v>
      </c>
      <c r="O62" s="39">
        <f t="shared" ca="1" si="28"/>
        <v>-9.2386787722498198E-5</v>
      </c>
      <c r="P62" s="39">
        <f t="shared" ca="1" si="26"/>
        <v>4.0742728449441748E-3</v>
      </c>
      <c r="Q62" s="39">
        <f t="shared" ca="1" si="27"/>
        <v>2.0538068483043403E-2</v>
      </c>
      <c r="V62" s="1"/>
      <c r="W62" s="1"/>
      <c r="X62" s="1"/>
      <c r="Y62" s="1"/>
    </row>
    <row r="63" spans="9:25" x14ac:dyDescent="0.2">
      <c r="I63" s="4">
        <v>6</v>
      </c>
      <c r="J63" s="7">
        <f t="shared" si="22"/>
        <v>10</v>
      </c>
      <c r="K63" s="7">
        <f t="shared" si="23"/>
        <v>9.9166666666666661</v>
      </c>
      <c r="L63" s="7">
        <f t="shared" si="24"/>
        <v>4.999987338800012</v>
      </c>
      <c r="M63" s="7">
        <f t="shared" si="24"/>
        <v>4.9999874347993316</v>
      </c>
      <c r="N63" s="39">
        <f t="shared" si="25"/>
        <v>4.1666578741666746E-3</v>
      </c>
      <c r="O63" s="39">
        <f t="shared" ca="1" si="28"/>
        <v>-9.2387938543825321E-5</v>
      </c>
      <c r="P63" s="39">
        <f t="shared" ca="1" si="26"/>
        <v>4.0742699356228493E-3</v>
      </c>
      <c r="Q63" s="39">
        <f t="shared" ca="1" si="27"/>
        <v>2.4696016053622483E-2</v>
      </c>
      <c r="V63" s="1"/>
      <c r="W63" s="1"/>
      <c r="X63" s="1"/>
      <c r="Y63" s="1"/>
    </row>
    <row r="64" spans="9:25" x14ac:dyDescent="0.2">
      <c r="I64" s="4">
        <v>7</v>
      </c>
      <c r="J64" s="7">
        <f t="shared" si="22"/>
        <v>10</v>
      </c>
      <c r="K64" s="7">
        <f t="shared" si="23"/>
        <v>9.9166666666666661</v>
      </c>
      <c r="L64" s="7">
        <f t="shared" si="24"/>
        <v>4.9999852286000142</v>
      </c>
      <c r="M64" s="7">
        <f t="shared" si="24"/>
        <v>4.9999853405992205</v>
      </c>
      <c r="N64" s="39">
        <f t="shared" si="25"/>
        <v>4.1666561156666762E-3</v>
      </c>
      <c r="O64" s="39">
        <f t="shared" ca="1" si="28"/>
        <v>-9.2389089367483912E-5</v>
      </c>
      <c r="P64" s="39">
        <f t="shared" ca="1" si="26"/>
        <v>4.0742670262991923E-3</v>
      </c>
      <c r="Q64" s="39">
        <f t="shared" ca="1" si="27"/>
        <v>2.8870901243809977E-2</v>
      </c>
      <c r="V64" s="1"/>
      <c r="W64" s="1"/>
      <c r="X64" s="1"/>
      <c r="Y64" s="1"/>
    </row>
    <row r="65" spans="9:25" x14ac:dyDescent="0.2">
      <c r="I65" s="4">
        <v>8</v>
      </c>
      <c r="J65" s="7">
        <f t="shared" si="22"/>
        <v>10</v>
      </c>
      <c r="K65" s="7">
        <f t="shared" si="23"/>
        <v>9.9166666666666661</v>
      </c>
      <c r="L65" s="7">
        <f t="shared" si="24"/>
        <v>4.9999831184000163</v>
      </c>
      <c r="M65" s="7">
        <f t="shared" si="24"/>
        <v>4.9999832463991085</v>
      </c>
      <c r="N65" s="39">
        <f t="shared" si="25"/>
        <v>4.1666543571666787E-3</v>
      </c>
      <c r="O65" s="39">
        <f t="shared" ca="1" si="28"/>
        <v>-9.2390240189477169E-5</v>
      </c>
      <c r="P65" s="39">
        <f t="shared" ca="1" si="26"/>
        <v>4.0742641169772015E-3</v>
      </c>
      <c r="Q65" s="39">
        <f t="shared" ca="1" si="27"/>
        <v>3.3062793037749838E-2</v>
      </c>
      <c r="V65" s="1"/>
      <c r="W65" s="1"/>
      <c r="X65" s="1"/>
      <c r="Y65" s="1"/>
    </row>
    <row r="66" spans="9:25" x14ac:dyDescent="0.2">
      <c r="I66" s="4">
        <v>9</v>
      </c>
      <c r="J66" s="7">
        <f t="shared" si="22"/>
        <v>10</v>
      </c>
      <c r="K66" s="7">
        <f t="shared" si="23"/>
        <v>9.9166666666666661</v>
      </c>
      <c r="L66" s="7">
        <f t="shared" si="24"/>
        <v>4.9999810082000185</v>
      </c>
      <c r="M66" s="7">
        <f t="shared" si="24"/>
        <v>4.9999811521989974</v>
      </c>
      <c r="N66" s="39">
        <f t="shared" si="25"/>
        <v>4.1666525986666803E-3</v>
      </c>
      <c r="O66" s="39">
        <f t="shared" ca="1" si="28"/>
        <v>-9.2391391013579849E-5</v>
      </c>
      <c r="P66" s="39">
        <f t="shared" ca="1" si="26"/>
        <v>4.0742612076531005E-3</v>
      </c>
      <c r="Q66" s="39">
        <f t="shared" ca="1" si="27"/>
        <v>3.7271760700493317E-2</v>
      </c>
      <c r="V66" s="1"/>
      <c r="W66" s="1"/>
      <c r="X66" s="1"/>
      <c r="Y66" s="1"/>
    </row>
    <row r="67" spans="9:25" x14ac:dyDescent="0.2">
      <c r="I67" s="4">
        <v>10</v>
      </c>
      <c r="J67" s="7">
        <f t="shared" si="22"/>
        <v>10</v>
      </c>
      <c r="K67" s="7">
        <f t="shared" si="23"/>
        <v>9.9166666666666661</v>
      </c>
      <c r="L67" s="7">
        <f t="shared" si="24"/>
        <v>4.9999788980000197</v>
      </c>
      <c r="M67" s="7">
        <f t="shared" si="24"/>
        <v>4.9999790579988863</v>
      </c>
      <c r="N67" s="39">
        <f t="shared" si="25"/>
        <v>4.1666508401666819E-3</v>
      </c>
      <c r="O67" s="39">
        <f t="shared" ca="1" si="28"/>
        <v>-9.2392541837682529E-5</v>
      </c>
      <c r="P67" s="39">
        <f t="shared" ca="1" si="26"/>
        <v>4.0742582983289994E-3</v>
      </c>
      <c r="Q67" s="39">
        <f t="shared" ca="1" si="27"/>
        <v>4.1497873779149819E-2</v>
      </c>
      <c r="V67" s="1"/>
      <c r="W67" s="1"/>
      <c r="X67" s="1"/>
      <c r="Y67" s="1"/>
    </row>
    <row r="68" spans="9:25" x14ac:dyDescent="0.2">
      <c r="I68" s="4">
        <v>11</v>
      </c>
      <c r="J68" s="7">
        <f t="shared" si="22"/>
        <v>10</v>
      </c>
      <c r="K68" s="7">
        <f t="shared" si="23"/>
        <v>9.9166666666666661</v>
      </c>
      <c r="L68" s="7">
        <f t="shared" si="24"/>
        <v>4.9999767878000219</v>
      </c>
      <c r="M68" s="7">
        <f t="shared" si="24"/>
        <v>4.9999769637987743</v>
      </c>
      <c r="N68" s="39">
        <f t="shared" si="25"/>
        <v>4.1666490816666827E-3</v>
      </c>
      <c r="O68" s="39">
        <f t="shared" ca="1" si="28"/>
        <v>-9.2393692660674986E-5</v>
      </c>
      <c r="P68" s="39">
        <f t="shared" ca="1" si="26"/>
        <v>4.0742553890060077E-3</v>
      </c>
      <c r="Q68" s="39">
        <f t="shared" ca="1" si="27"/>
        <v>4.5741202104032874E-2</v>
      </c>
      <c r="V68" s="1"/>
      <c r="W68" s="1"/>
      <c r="X68" s="1"/>
      <c r="Y68" s="1"/>
    </row>
    <row r="69" spans="9:25" x14ac:dyDescent="0.2">
      <c r="I69" s="4">
        <v>12</v>
      </c>
      <c r="J69" s="7">
        <f t="shared" si="22"/>
        <v>10</v>
      </c>
      <c r="K69" s="7">
        <f t="shared" si="23"/>
        <v>9.9166666666666661</v>
      </c>
      <c r="L69" s="42">
        <f>beta_0_scen+beta_1_scen*((1-EXP(-lambda*J69))/(lambda*J69))+beta_2_scen*((1-EXP(-lambda*J69))/(lambda*J69)-EXP(-lambda*J69))</f>
        <v>4.999974677600024</v>
      </c>
      <c r="M69" s="42">
        <f>beta_0_scen+beta_1_scen*((1-EXP(-lambda*K69))/(lambda*K69))+beta_2_scen*((1-EXP(-lambda*K69))/(lambda*K69)-EXP(-lambda*K69))</f>
        <v>4.9999748695986632</v>
      </c>
      <c r="N69" s="39">
        <f t="shared" si="25"/>
        <v>4.1666473231666851E-3</v>
      </c>
      <c r="O69" s="39">
        <f t="shared" ca="1" si="28"/>
        <v>-9.2394843485554823E-5</v>
      </c>
      <c r="P69" s="39">
        <f t="shared" ca="1" si="26"/>
        <v>4.0742524796811303E-3</v>
      </c>
      <c r="Q69" s="41">
        <f t="shared" ca="1" si="27"/>
        <v>5.0001815789809889E-2</v>
      </c>
      <c r="V69" s="1"/>
      <c r="W69" s="1"/>
      <c r="X69" s="1"/>
      <c r="Y69" s="1"/>
    </row>
    <row r="70" spans="9:25" x14ac:dyDescent="0.2">
      <c r="M70" s="1"/>
      <c r="N70" s="1"/>
      <c r="O70" s="1"/>
      <c r="V70" s="1"/>
      <c r="W70" s="1"/>
      <c r="X70" s="1"/>
      <c r="Y70" s="1"/>
    </row>
    <row r="71" spans="9:25" x14ac:dyDescent="0.2">
      <c r="M71" s="1"/>
      <c r="N71" s="1"/>
      <c r="O71" s="1"/>
      <c r="V71" s="1"/>
      <c r="W71" s="1"/>
      <c r="X71" s="1"/>
      <c r="Y71" s="1"/>
    </row>
    <row r="72" spans="9:25" x14ac:dyDescent="0.2">
      <c r="M72" s="1"/>
      <c r="N72" s="1"/>
      <c r="O72" s="1"/>
      <c r="V72" s="1"/>
      <c r="W72" s="1"/>
      <c r="X72" s="1"/>
      <c r="Y72" s="1"/>
    </row>
    <row r="73" spans="9:25" x14ac:dyDescent="0.2">
      <c r="M73" s="1"/>
      <c r="N73" s="1"/>
      <c r="O73" s="1"/>
      <c r="V73" s="1"/>
      <c r="W73" s="1"/>
      <c r="X73" s="1"/>
      <c r="Y73" s="1"/>
    </row>
    <row r="74" spans="9:25" x14ac:dyDescent="0.2">
      <c r="M74" s="1"/>
      <c r="N74" s="1"/>
      <c r="O74" s="1"/>
      <c r="V74" s="1"/>
      <c r="W74" s="1"/>
      <c r="X74" s="1"/>
      <c r="Y74" s="1"/>
    </row>
    <row r="75" spans="9:25" x14ac:dyDescent="0.2">
      <c r="M75" s="1"/>
      <c r="N75" s="1"/>
      <c r="O75" s="1"/>
      <c r="V75" s="1"/>
      <c r="W75" s="1"/>
      <c r="X75" s="1"/>
      <c r="Y75" s="1"/>
    </row>
    <row r="76" spans="9:25" x14ac:dyDescent="0.2">
      <c r="M76" s="1"/>
      <c r="N76" s="1"/>
      <c r="O76" s="1"/>
      <c r="V76" s="1"/>
      <c r="W76" s="1"/>
      <c r="X76" s="1"/>
      <c r="Y76" s="1"/>
    </row>
    <row r="77" spans="9:25" x14ac:dyDescent="0.2">
      <c r="M77" s="1"/>
      <c r="N77" s="1"/>
      <c r="O77" s="1"/>
      <c r="V77" s="1"/>
      <c r="W77" s="1"/>
      <c r="X77" s="1"/>
      <c r="Y77" s="1"/>
    </row>
    <row r="78" spans="9:25" x14ac:dyDescent="0.2">
      <c r="M78" s="1"/>
      <c r="N78" s="1"/>
      <c r="O78" s="1"/>
      <c r="V78" s="1"/>
      <c r="W78" s="1"/>
      <c r="X78" s="1"/>
      <c r="Y78" s="1"/>
    </row>
    <row r="79" spans="9:25" x14ac:dyDescent="0.2">
      <c r="M79" s="1"/>
      <c r="N79" s="1"/>
      <c r="O79" s="1"/>
      <c r="V79" s="1"/>
      <c r="W79" s="1"/>
      <c r="X79" s="1"/>
      <c r="Y79" s="1"/>
    </row>
    <row r="80" spans="9:25" x14ac:dyDescent="0.2">
      <c r="M80" s="1"/>
      <c r="N80" s="1"/>
      <c r="O80" s="1"/>
      <c r="V80" s="1"/>
      <c r="W80" s="1"/>
      <c r="X80" s="1"/>
      <c r="Y80" s="1"/>
    </row>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sheetData>
  <phoneticPr fontId="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O124"/>
  <sheetViews>
    <sheetView showGridLines="0" workbookViewId="0">
      <selection activeCell="O28" sqref="O28"/>
    </sheetView>
  </sheetViews>
  <sheetFormatPr baseColWidth="10" defaultColWidth="8.83203125" defaultRowHeight="15" x14ac:dyDescent="0.2"/>
  <cols>
    <col min="1" max="1" width="8.83203125" style="4"/>
    <col min="2" max="2" width="10.1640625" style="4" bestFit="1" customWidth="1"/>
    <col min="3" max="16384" width="8.83203125" style="4"/>
  </cols>
  <sheetData>
    <row r="2" spans="2:15" x14ac:dyDescent="0.2">
      <c r="B2" s="43">
        <v>45576</v>
      </c>
    </row>
    <row r="3" spans="2:15" x14ac:dyDescent="0.2">
      <c r="B3" s="4" t="s">
        <v>3</v>
      </c>
      <c r="C3" s="4" t="s">
        <v>42</v>
      </c>
      <c r="D3" s="4" t="s">
        <v>41</v>
      </c>
      <c r="E3" s="4" t="s">
        <v>2</v>
      </c>
      <c r="F3" s="4" t="s">
        <v>1</v>
      </c>
      <c r="G3" s="4" t="s">
        <v>0</v>
      </c>
      <c r="J3" s="4" t="s">
        <v>12</v>
      </c>
      <c r="K3" s="4" t="s">
        <v>16</v>
      </c>
      <c r="M3" s="4" t="s">
        <v>3</v>
      </c>
      <c r="N3" s="4" t="s">
        <v>33</v>
      </c>
      <c r="O3" s="4" t="s">
        <v>34</v>
      </c>
    </row>
    <row r="4" spans="2:15" x14ac:dyDescent="0.2">
      <c r="B4" s="4">
        <v>0.25</v>
      </c>
      <c r="C4" s="4">
        <v>3.048</v>
      </c>
      <c r="D4" s="4">
        <v>3.1669999999999998</v>
      </c>
      <c r="E4" s="4">
        <v>1.01E-2</v>
      </c>
      <c r="F4" s="4">
        <v>4.8849999999999998</v>
      </c>
      <c r="G4" s="4">
        <v>4.625</v>
      </c>
      <c r="I4" s="4">
        <f t="shared" ref="I4:I12" si="0">B4</f>
        <v>0.25</v>
      </c>
      <c r="J4" s="4">
        <f>IF(NS!F7,NS!C7,NA())</f>
        <v>4.625</v>
      </c>
      <c r="K4" s="4" t="e">
        <f>IF(ISNA(J4),NS!C7,NA())</f>
        <v>#N/A</v>
      </c>
      <c r="M4" s="24">
        <f t="array" ref="M4:M124">ns_maturities</f>
        <v>2.7000000000000001E-3</v>
      </c>
      <c r="N4" s="24">
        <f t="array" ref="N4:N124">ns_yields</f>
        <v>5</v>
      </c>
      <c r="O4" s="24">
        <f t="shared" ref="O4:O35" si="1">beta_0_scen+beta_1_scen*((1-EXP(-lambda*M4))/(lambda*M4))+beta_2_scen*((1-EXP(-lambda*M4))/(lambda*M4)-EXP(-lambda*M4))</f>
        <v>4.9999965896853507</v>
      </c>
    </row>
    <row r="5" spans="2:15" x14ac:dyDescent="0.2">
      <c r="B5" s="4">
        <v>0.5</v>
      </c>
      <c r="C5" s="4">
        <v>2.8570000000000002</v>
      </c>
      <c r="D5" s="4">
        <v>3.1539999999999999</v>
      </c>
      <c r="E5" s="4">
        <v>8.2100000000000006E-2</v>
      </c>
      <c r="F5" s="4">
        <v>4.7460000000000004</v>
      </c>
      <c r="G5" s="4">
        <v>4.4432999999999998</v>
      </c>
      <c r="I5" s="4">
        <f t="shared" si="0"/>
        <v>0.5</v>
      </c>
      <c r="J5" s="4">
        <f>IF(NS!F8,NS!C8,NA())</f>
        <v>4.4432999999999998</v>
      </c>
      <c r="K5" s="4" t="e">
        <f>IF(ISNA(J5),NS!C8,NA())</f>
        <v>#N/A</v>
      </c>
      <c r="M5" s="24">
        <v>0.25</v>
      </c>
      <c r="N5" s="24">
        <v>5</v>
      </c>
      <c r="O5" s="24">
        <f t="shared" si="1"/>
        <v>4.9999971958724752</v>
      </c>
    </row>
    <row r="6" spans="2:15" x14ac:dyDescent="0.2">
      <c r="B6" s="4">
        <v>1</v>
      </c>
      <c r="C6" s="4">
        <v>2.6070000000000002</v>
      </c>
      <c r="D6" s="4">
        <v>2.875</v>
      </c>
      <c r="E6" s="4">
        <v>0.253</v>
      </c>
      <c r="F6" s="4">
        <v>4.468</v>
      </c>
      <c r="G6" s="4">
        <v>4.1813000000000002</v>
      </c>
      <c r="I6" s="4">
        <f t="shared" si="0"/>
        <v>1</v>
      </c>
      <c r="J6" s="4">
        <f>IF(NS!F9,NS!C9,NA())</f>
        <v>4.1813000000000002</v>
      </c>
      <c r="K6" s="4" t="e">
        <f>IF(ISNA(J6),NS!C9,NA())</f>
        <v>#N/A</v>
      </c>
      <c r="M6" s="24">
        <v>0.5</v>
      </c>
      <c r="N6" s="24">
        <v>5</v>
      </c>
      <c r="O6" s="24">
        <f t="shared" si="1"/>
        <v>4.999997606974075</v>
      </c>
    </row>
    <row r="7" spans="2:15" x14ac:dyDescent="0.2">
      <c r="B7" s="4">
        <v>2</v>
      </c>
      <c r="C7" s="4">
        <v>2.2349999999999999</v>
      </c>
      <c r="D7" s="4">
        <v>2.7050000000000001</v>
      </c>
      <c r="E7" s="4">
        <v>0.41599999999999998</v>
      </c>
      <c r="F7" s="4">
        <v>4.1710000000000003</v>
      </c>
      <c r="G7" s="4">
        <v>3.9554</v>
      </c>
      <c r="I7" s="4">
        <f t="shared" si="0"/>
        <v>2</v>
      </c>
      <c r="J7" s="4">
        <f>IF(NS!F10,NS!C10,NA())</f>
        <v>3.9554</v>
      </c>
      <c r="K7" s="4" t="e">
        <f>IF(ISNA(J7),NS!C10,NA())</f>
        <v>#N/A</v>
      </c>
      <c r="M7" s="24">
        <v>0.75</v>
      </c>
      <c r="N7" s="24">
        <v>5</v>
      </c>
      <c r="O7" s="24">
        <f t="shared" si="1"/>
        <v>4.9999978390855455</v>
      </c>
    </row>
    <row r="8" spans="2:15" x14ac:dyDescent="0.2">
      <c r="B8" s="4">
        <v>3</v>
      </c>
      <c r="C8" s="4">
        <v>2.0609999999999999</v>
      </c>
      <c r="D8" s="4">
        <v>2.677</v>
      </c>
      <c r="E8" s="4">
        <v>0.42399999999999999</v>
      </c>
      <c r="F8" s="4">
        <v>3.9529999999999998</v>
      </c>
      <c r="G8" s="4">
        <v>3.875</v>
      </c>
      <c r="I8" s="4">
        <f t="shared" si="0"/>
        <v>3</v>
      </c>
      <c r="J8" s="4">
        <f>IF(NS!F11,NS!C11,NA())</f>
        <v>3.875</v>
      </c>
      <c r="K8" s="4" t="e">
        <f>IF(ISNA(J8),NS!C11,NA())</f>
        <v>#N/A</v>
      </c>
      <c r="M8" s="24">
        <v>1</v>
      </c>
      <c r="N8" s="24">
        <v>5</v>
      </c>
      <c r="O8" s="24">
        <f t="shared" si="1"/>
        <v>4.9999979137221704</v>
      </c>
    </row>
    <row r="9" spans="2:15" x14ac:dyDescent="0.2">
      <c r="B9" s="4">
        <v>5</v>
      </c>
      <c r="C9" s="4">
        <v>2.1190000000000002</v>
      </c>
      <c r="D9" s="4">
        <v>2.9609999999999999</v>
      </c>
      <c r="E9" s="4">
        <v>0.57999999999999996</v>
      </c>
      <c r="F9" s="4">
        <v>4.0720000000000001</v>
      </c>
      <c r="G9" s="4">
        <v>3.9018000000000002</v>
      </c>
      <c r="I9" s="4">
        <f t="shared" si="0"/>
        <v>5</v>
      </c>
      <c r="J9" s="4">
        <f>IF(NS!F12,NS!C12,NA())</f>
        <v>3.9018000000000002</v>
      </c>
      <c r="K9" s="4" t="e">
        <f>IF(ISNA(J9),NS!C12,NA())</f>
        <v>#N/A</v>
      </c>
      <c r="M9" s="24">
        <v>1.25</v>
      </c>
      <c r="N9" s="24">
        <v>5</v>
      </c>
      <c r="O9" s="24">
        <f t="shared" si="1"/>
        <v>4.9999978502367286</v>
      </c>
    </row>
    <row r="10" spans="2:15" x14ac:dyDescent="0.2">
      <c r="B10" s="4">
        <v>7</v>
      </c>
      <c r="C10" s="4">
        <v>2.0950000000000002</v>
      </c>
      <c r="D10" s="4">
        <v>3.1819999999999999</v>
      </c>
      <c r="E10" s="4">
        <v>0.68100000000000005</v>
      </c>
      <c r="F10" s="4">
        <v>4.1159999999999997</v>
      </c>
      <c r="G10" s="4">
        <v>3.9904999999999999</v>
      </c>
      <c r="I10" s="4">
        <f t="shared" si="0"/>
        <v>7</v>
      </c>
      <c r="J10" s="4">
        <f>IF(NS!F13,NS!C13,NA())</f>
        <v>3.9904999999999999</v>
      </c>
      <c r="K10" s="4" t="e">
        <f>IF(ISNA(J10),NS!C13,NA())</f>
        <v>#N/A</v>
      </c>
      <c r="M10" s="24">
        <v>1.5</v>
      </c>
      <c r="N10" s="24">
        <v>5</v>
      </c>
      <c r="O10" s="24">
        <f t="shared" si="1"/>
        <v>4.9999976660231056</v>
      </c>
    </row>
    <row r="11" spans="2:15" x14ac:dyDescent="0.2">
      <c r="B11" s="4">
        <v>10</v>
      </c>
      <c r="C11" s="4">
        <v>2.2650000000000001</v>
      </c>
      <c r="D11" s="4">
        <v>3.56</v>
      </c>
      <c r="E11" s="4">
        <v>0.95199999999999996</v>
      </c>
      <c r="F11" s="4">
        <v>4.2069999999999999</v>
      </c>
      <c r="G11" s="4">
        <v>4.1002999999999998</v>
      </c>
      <c r="I11" s="4">
        <f t="shared" si="0"/>
        <v>10</v>
      </c>
      <c r="J11" s="4">
        <f>IF(NS!F14,NS!C14,NA())</f>
        <v>4.1002999999999998</v>
      </c>
      <c r="K11" s="4" t="e">
        <f>IF(ISNA(J11),NS!C14,NA())</f>
        <v>#N/A</v>
      </c>
      <c r="M11" s="24">
        <v>1.75</v>
      </c>
      <c r="N11" s="24">
        <v>5</v>
      </c>
      <c r="O11" s="24">
        <f t="shared" si="1"/>
        <v>4.9999973767013266</v>
      </c>
    </row>
    <row r="12" spans="2:15" x14ac:dyDescent="0.2">
      <c r="B12" s="4">
        <v>30</v>
      </c>
      <c r="C12" s="4">
        <v>2.5590000000000002</v>
      </c>
      <c r="D12" s="4">
        <v>4.1769999999999996</v>
      </c>
      <c r="E12" s="4">
        <v>2.1669999999999998</v>
      </c>
      <c r="F12" s="4">
        <v>4.7489999999999997</v>
      </c>
      <c r="G12" s="4">
        <v>4.4105999999999996</v>
      </c>
      <c r="I12" s="4">
        <f t="shared" si="0"/>
        <v>30</v>
      </c>
      <c r="J12" s="4">
        <f>IF(NS!F15,NS!C15,NA())</f>
        <v>4.4105999999999996</v>
      </c>
      <c r="K12" s="4" t="e">
        <f>IF(ISNA(J12),NS!C15,NA())</f>
        <v>#N/A</v>
      </c>
      <c r="M12" s="24">
        <v>2</v>
      </c>
      <c r="N12" s="24">
        <v>5</v>
      </c>
      <c r="O12" s="24">
        <f t="shared" si="1"/>
        <v>4.9999969962856863</v>
      </c>
    </row>
    <row r="13" spans="2:15" x14ac:dyDescent="0.2">
      <c r="M13" s="24">
        <v>2.25</v>
      </c>
      <c r="N13" s="24">
        <v>5</v>
      </c>
      <c r="O13" s="24">
        <f t="shared" si="1"/>
        <v>4.9999965373374753</v>
      </c>
    </row>
    <row r="14" spans="2:15" x14ac:dyDescent="0.2">
      <c r="M14" s="24">
        <v>2.5</v>
      </c>
      <c r="N14" s="24">
        <v>5</v>
      </c>
      <c r="O14" s="24">
        <f t="shared" si="1"/>
        <v>4.999996011103705</v>
      </c>
    </row>
    <row r="15" spans="2:15" x14ac:dyDescent="0.2">
      <c r="B15" s="4">
        <v>5</v>
      </c>
      <c r="C15" s="4">
        <v>5</v>
      </c>
      <c r="M15" s="24">
        <v>2.75</v>
      </c>
      <c r="N15" s="24">
        <v>5</v>
      </c>
      <c r="O15" s="24">
        <f t="shared" si="1"/>
        <v>4.9999954276430847</v>
      </c>
    </row>
    <row r="16" spans="2:15" x14ac:dyDescent="0.2">
      <c r="B16" s="4" t="str" cm="1">
        <f t="array" ref="B16">INDEX(country_list,country_ix,1)</f>
        <v>US</v>
      </c>
      <c r="C16" s="4" cm="1">
        <f t="array" ref="C16">INDEX(hump_choices,hump_ix,1)</f>
        <v>5</v>
      </c>
      <c r="D16" s="4" cm="1">
        <f t="array" ref="D16">INDEX(lambdas,hump_ix,1)</f>
        <v>0.3586819</v>
      </c>
      <c r="M16" s="24">
        <v>3</v>
      </c>
      <c r="N16" s="24">
        <v>5</v>
      </c>
      <c r="O16" s="24">
        <f t="shared" si="1"/>
        <v>4.9999947959403812</v>
      </c>
    </row>
    <row r="17" spans="2:15" x14ac:dyDescent="0.2">
      <c r="B17" s="4" t="str">
        <f t="array" ref="B17:B21">TRANSPOSE(C3:G3)</f>
        <v>DE</v>
      </c>
      <c r="C17" s="4">
        <v>1</v>
      </c>
      <c r="D17" s="4">
        <v>1.7932809999999999</v>
      </c>
      <c r="M17" s="24">
        <v>3.25</v>
      </c>
      <c r="N17" s="24">
        <v>5</v>
      </c>
      <c r="O17" s="24">
        <f t="shared" si="1"/>
        <v>4.9999941240102421</v>
      </c>
    </row>
    <row r="18" spans="2:15" x14ac:dyDescent="0.2">
      <c r="B18" s="4" t="str">
        <v>IT</v>
      </c>
      <c r="C18" s="4">
        <v>2</v>
      </c>
      <c r="D18" s="4">
        <v>0.89664160000000004</v>
      </c>
      <c r="M18" s="24">
        <v>3.5</v>
      </c>
      <c r="N18" s="24">
        <v>5</v>
      </c>
      <c r="O18" s="24">
        <f t="shared" si="1"/>
        <v>4.9999934189913953</v>
      </c>
    </row>
    <row r="19" spans="2:15" x14ac:dyDescent="0.2">
      <c r="B19" s="4" t="str">
        <v>JP</v>
      </c>
      <c r="C19" s="4">
        <v>3</v>
      </c>
      <c r="D19" s="4">
        <v>0.59776030000000002</v>
      </c>
      <c r="M19" s="24">
        <v>3.75</v>
      </c>
      <c r="N19" s="24">
        <v>5</v>
      </c>
      <c r="O19" s="24">
        <f t="shared" si="1"/>
        <v>4.9999926872321288</v>
      </c>
    </row>
    <row r="20" spans="2:15" x14ac:dyDescent="0.2">
      <c r="B20" s="4" t="str">
        <v>UK</v>
      </c>
      <c r="C20" s="4">
        <v>4</v>
      </c>
      <c r="D20" s="4">
        <v>0.44833519999999999</v>
      </c>
      <c r="M20" s="24">
        <v>4</v>
      </c>
      <c r="N20" s="24">
        <v>5</v>
      </c>
      <c r="O20" s="24">
        <f t="shared" si="1"/>
        <v>4.9999919343678156</v>
      </c>
    </row>
    <row r="21" spans="2:15" x14ac:dyDescent="0.2">
      <c r="B21" s="4" t="str">
        <v>US</v>
      </c>
      <c r="C21" s="4">
        <v>5</v>
      </c>
      <c r="D21" s="4">
        <v>0.3586819</v>
      </c>
      <c r="M21" s="24">
        <v>4.25</v>
      </c>
      <c r="N21" s="24">
        <v>5</v>
      </c>
      <c r="O21" s="24">
        <f t="shared" si="1"/>
        <v>4.9999911653912124</v>
      </c>
    </row>
    <row r="22" spans="2:15" x14ac:dyDescent="0.2">
      <c r="C22" s="4">
        <v>7</v>
      </c>
      <c r="D22" s="4">
        <v>0.25619999999999998</v>
      </c>
      <c r="M22" s="24">
        <v>4.5</v>
      </c>
      <c r="N22" s="24">
        <v>5</v>
      </c>
      <c r="O22" s="24">
        <f t="shared" si="1"/>
        <v>4.9999903847161979</v>
      </c>
    </row>
    <row r="23" spans="2:15" x14ac:dyDescent="0.2">
      <c r="C23" s="4">
        <v>10</v>
      </c>
      <c r="D23" s="4">
        <v>0.17934720000000001</v>
      </c>
      <c r="M23" s="24">
        <v>4.75</v>
      </c>
      <c r="N23" s="24">
        <v>5</v>
      </c>
      <c r="O23" s="24">
        <f t="shared" si="1"/>
        <v>4.999989596235527</v>
      </c>
    </row>
    <row r="24" spans="2:15" x14ac:dyDescent="0.2">
      <c r="M24" s="24">
        <v>5</v>
      </c>
      <c r="N24" s="24">
        <v>5</v>
      </c>
      <c r="O24" s="24">
        <f t="shared" si="1"/>
        <v>4.9999888033731645</v>
      </c>
    </row>
    <row r="25" spans="2:15" x14ac:dyDescent="0.2">
      <c r="M25" s="24">
        <v>5.25</v>
      </c>
      <c r="N25" s="24">
        <v>5</v>
      </c>
      <c r="O25" s="24">
        <f t="shared" si="1"/>
        <v>4.9999880091316822</v>
      </c>
    </row>
    <row r="26" spans="2:15" x14ac:dyDescent="0.2">
      <c r="M26" s="24">
        <v>5.5</v>
      </c>
      <c r="N26" s="24">
        <v>5</v>
      </c>
      <c r="O26" s="24">
        <f t="shared" si="1"/>
        <v>4.9999872161351737</v>
      </c>
    </row>
    <row r="27" spans="2:15" x14ac:dyDescent="0.2">
      <c r="M27" s="24">
        <v>5.75</v>
      </c>
      <c r="N27" s="24">
        <v>5</v>
      </c>
      <c r="O27" s="24">
        <f t="shared" si="1"/>
        <v>4.9999864266680953</v>
      </c>
    </row>
    <row r="28" spans="2:15" x14ac:dyDescent="0.2">
      <c r="M28" s="24">
        <v>6</v>
      </c>
      <c r="N28" s="24">
        <v>5</v>
      </c>
      <c r="O28" s="24">
        <f t="shared" si="1"/>
        <v>4.999985642710409</v>
      </c>
    </row>
    <row r="29" spans="2:15" x14ac:dyDescent="0.2">
      <c r="M29" s="24">
        <v>6.25</v>
      </c>
      <c r="N29" s="24">
        <v>5</v>
      </c>
      <c r="O29" s="24">
        <f t="shared" si="1"/>
        <v>4.9999848659693678</v>
      </c>
    </row>
    <row r="30" spans="2:15" x14ac:dyDescent="0.2">
      <c r="M30" s="24">
        <v>6.5</v>
      </c>
      <c r="N30" s="24">
        <v>5</v>
      </c>
      <c r="O30" s="24">
        <f t="shared" si="1"/>
        <v>4.9999840979082473</v>
      </c>
    </row>
    <row r="31" spans="2:15" x14ac:dyDescent="0.2">
      <c r="M31" s="24">
        <v>6.75</v>
      </c>
      <c r="N31" s="24">
        <v>5</v>
      </c>
      <c r="O31" s="24">
        <f t="shared" si="1"/>
        <v>4.9999833397723075</v>
      </c>
    </row>
    <row r="32" spans="2:15" x14ac:dyDescent="0.2">
      <c r="M32" s="24">
        <v>7</v>
      </c>
      <c r="N32" s="24">
        <v>5</v>
      </c>
      <c r="O32" s="24">
        <f t="shared" si="1"/>
        <v>4.9999825926122501</v>
      </c>
    </row>
    <row r="33" spans="13:15" x14ac:dyDescent="0.2">
      <c r="M33" s="24">
        <v>7.25</v>
      </c>
      <c r="N33" s="24">
        <v>5</v>
      </c>
      <c r="O33" s="24">
        <f t="shared" si="1"/>
        <v>4.9999818573053849</v>
      </c>
    </row>
    <row r="34" spans="13:15" x14ac:dyDescent="0.2">
      <c r="M34" s="24">
        <v>7.5</v>
      </c>
      <c r="N34" s="24">
        <v>5</v>
      </c>
      <c r="O34" s="24">
        <f t="shared" si="1"/>
        <v>4.9999811345747389</v>
      </c>
    </row>
    <row r="35" spans="13:15" x14ac:dyDescent="0.2">
      <c r="M35" s="24">
        <v>7.75</v>
      </c>
      <c r="N35" s="24">
        <v>5</v>
      </c>
      <c r="O35" s="24">
        <f t="shared" si="1"/>
        <v>4.9999804250062763</v>
      </c>
    </row>
    <row r="36" spans="13:15" x14ac:dyDescent="0.2">
      <c r="M36" s="24">
        <v>8</v>
      </c>
      <c r="N36" s="24">
        <v>5</v>
      </c>
      <c r="O36" s="24">
        <f t="shared" ref="O36:O67" si="2">beta_0_scen+beta_1_scen*((1-EXP(-lambda*M36))/(lambda*M36))+beta_2_scen*((1-EXP(-lambda*M36))/(lambda*M36)-EXP(-lambda*M36))</f>
        <v>4.9999797290644352</v>
      </c>
    </row>
    <row r="37" spans="13:15" x14ac:dyDescent="0.2">
      <c r="M37" s="24">
        <v>8.25</v>
      </c>
      <c r="N37" s="24">
        <v>5</v>
      </c>
      <c r="O37" s="24">
        <f t="shared" si="2"/>
        <v>4.9999790471061054</v>
      </c>
    </row>
    <row r="38" spans="13:15" x14ac:dyDescent="0.2">
      <c r="M38" s="24">
        <v>8.5</v>
      </c>
      <c r="N38" s="24">
        <v>5</v>
      </c>
      <c r="O38" s="24">
        <f t="shared" si="2"/>
        <v>4.9999783793932222</v>
      </c>
    </row>
    <row r="39" spans="13:15" x14ac:dyDescent="0.2">
      <c r="M39" s="24">
        <v>8.75</v>
      </c>
      <c r="N39" s="24">
        <v>5</v>
      </c>
      <c r="O39" s="24">
        <f t="shared" si="2"/>
        <v>4.9999777261040919</v>
      </c>
    </row>
    <row r="40" spans="13:15" x14ac:dyDescent="0.2">
      <c r="M40" s="24">
        <v>9</v>
      </c>
      <c r="N40" s="24">
        <v>5</v>
      </c>
      <c r="O40" s="24">
        <f t="shared" si="2"/>
        <v>4.9999770873435638</v>
      </c>
    </row>
    <row r="41" spans="13:15" x14ac:dyDescent="0.2">
      <c r="M41" s="24">
        <v>9.25</v>
      </c>
      <c r="N41" s="24">
        <v>5</v>
      </c>
      <c r="O41" s="24">
        <f t="shared" si="2"/>
        <v>4.999976463152179</v>
      </c>
    </row>
    <row r="42" spans="13:15" x14ac:dyDescent="0.2">
      <c r="M42" s="24">
        <v>9.5</v>
      </c>
      <c r="N42" s="24">
        <v>5</v>
      </c>
      <c r="O42" s="24">
        <f t="shared" si="2"/>
        <v>4.9999758535143712</v>
      </c>
    </row>
    <row r="43" spans="13:15" x14ac:dyDescent="0.2">
      <c r="M43" s="24">
        <v>9.75</v>
      </c>
      <c r="N43" s="24">
        <v>5</v>
      </c>
      <c r="O43" s="24">
        <f t="shared" si="2"/>
        <v>4.9999752583658159</v>
      </c>
    </row>
    <row r="44" spans="13:15" x14ac:dyDescent="0.2">
      <c r="M44" s="24">
        <v>10</v>
      </c>
      <c r="N44" s="24">
        <v>5</v>
      </c>
      <c r="O44" s="24">
        <f t="shared" si="2"/>
        <v>4.999974677600024</v>
      </c>
    </row>
    <row r="45" spans="13:15" x14ac:dyDescent="0.2">
      <c r="M45" s="24">
        <v>10.25</v>
      </c>
      <c r="N45" s="24">
        <v>5</v>
      </c>
      <c r="O45" s="24">
        <f t="shared" si="2"/>
        <v>4.9999741110742288</v>
      </c>
    </row>
    <row r="46" spans="13:15" x14ac:dyDescent="0.2">
      <c r="M46" s="24">
        <v>10.5</v>
      </c>
      <c r="N46" s="24">
        <v>5</v>
      </c>
      <c r="O46" s="24">
        <f t="shared" si="2"/>
        <v>4.999973558614653</v>
      </c>
    </row>
    <row r="47" spans="13:15" x14ac:dyDescent="0.2">
      <c r="M47" s="24">
        <v>10.75</v>
      </c>
      <c r="N47" s="24">
        <v>5</v>
      </c>
      <c r="O47" s="24">
        <f t="shared" si="2"/>
        <v>4.999973020021212</v>
      </c>
    </row>
    <row r="48" spans="13:15" x14ac:dyDescent="0.2">
      <c r="M48" s="24">
        <v>11</v>
      </c>
      <c r="N48" s="24">
        <v>5</v>
      </c>
      <c r="O48" s="24">
        <f t="shared" si="2"/>
        <v>4.9999724950716935</v>
      </c>
    </row>
    <row r="49" spans="13:15" x14ac:dyDescent="0.2">
      <c r="M49" s="24">
        <v>11.25</v>
      </c>
      <c r="N49" s="24">
        <v>5</v>
      </c>
      <c r="O49" s="24">
        <f t="shared" si="2"/>
        <v>4.9999719835254952</v>
      </c>
    </row>
    <row r="50" spans="13:15" x14ac:dyDescent="0.2">
      <c r="M50" s="24">
        <v>11.5</v>
      </c>
      <c r="N50" s="24">
        <v>5</v>
      </c>
      <c r="O50" s="24">
        <f t="shared" si="2"/>
        <v>4.999971485126931</v>
      </c>
    </row>
    <row r="51" spans="13:15" x14ac:dyDescent="0.2">
      <c r="M51" s="24">
        <v>11.75</v>
      </c>
      <c r="N51" s="24">
        <v>5</v>
      </c>
      <c r="O51" s="24">
        <f t="shared" si="2"/>
        <v>4.9999709996081672</v>
      </c>
    </row>
    <row r="52" spans="13:15" x14ac:dyDescent="0.2">
      <c r="M52" s="24">
        <v>12</v>
      </c>
      <c r="N52" s="24">
        <v>5</v>
      </c>
      <c r="O52" s="24">
        <f t="shared" si="2"/>
        <v>4.9999705266918282</v>
      </c>
    </row>
    <row r="53" spans="13:15" x14ac:dyDescent="0.2">
      <c r="M53" s="24">
        <v>12.25</v>
      </c>
      <c r="N53" s="24">
        <v>5</v>
      </c>
      <c r="O53" s="24">
        <f t="shared" si="2"/>
        <v>4.9999700660932884</v>
      </c>
    </row>
    <row r="54" spans="13:15" x14ac:dyDescent="0.2">
      <c r="M54" s="24">
        <v>12.5</v>
      </c>
      <c r="N54" s="24">
        <v>5</v>
      </c>
      <c r="O54" s="24">
        <f t="shared" si="2"/>
        <v>4.9999696175226997</v>
      </c>
    </row>
    <row r="55" spans="13:15" x14ac:dyDescent="0.2">
      <c r="M55" s="24">
        <v>12.75</v>
      </c>
      <c r="N55" s="24">
        <v>5</v>
      </c>
      <c r="O55" s="24">
        <f t="shared" si="2"/>
        <v>4.9999691806867652</v>
      </c>
    </row>
    <row r="56" spans="13:15" x14ac:dyDescent="0.2">
      <c r="M56" s="24">
        <v>13</v>
      </c>
      <c r="N56" s="24">
        <v>5</v>
      </c>
      <c r="O56" s="24">
        <f t="shared" si="2"/>
        <v>4.9999687552903014</v>
      </c>
    </row>
    <row r="57" spans="13:15" x14ac:dyDescent="0.2">
      <c r="M57" s="24">
        <v>13.25</v>
      </c>
      <c r="N57" s="24">
        <v>5</v>
      </c>
      <c r="O57" s="24">
        <f t="shared" si="2"/>
        <v>4.999968341037599</v>
      </c>
    </row>
    <row r="58" spans="13:15" x14ac:dyDescent="0.2">
      <c r="M58" s="24">
        <v>13.5</v>
      </c>
      <c r="N58" s="24">
        <v>5</v>
      </c>
      <c r="O58" s="24">
        <f t="shared" si="2"/>
        <v>4.9999679376336044</v>
      </c>
    </row>
    <row r="59" spans="13:15" x14ac:dyDescent="0.2">
      <c r="M59" s="24">
        <v>13.75</v>
      </c>
      <c r="N59" s="24">
        <v>5</v>
      </c>
      <c r="O59" s="24">
        <f t="shared" si="2"/>
        <v>4.9999675447849441</v>
      </c>
    </row>
    <row r="60" spans="13:15" x14ac:dyDescent="0.2">
      <c r="M60" s="24">
        <v>14</v>
      </c>
      <c r="N60" s="24">
        <v>5</v>
      </c>
      <c r="O60" s="24">
        <f t="shared" si="2"/>
        <v>4.9999671622008126</v>
      </c>
    </row>
    <row r="61" spans="13:15" x14ac:dyDescent="0.2">
      <c r="M61" s="24">
        <v>14.25</v>
      </c>
      <c r="N61" s="24">
        <v>5</v>
      </c>
      <c r="O61" s="24">
        <f t="shared" si="2"/>
        <v>4.9999667895937208</v>
      </c>
    </row>
    <row r="62" spans="13:15" x14ac:dyDescent="0.2">
      <c r="M62" s="24">
        <v>14.5</v>
      </c>
      <c r="N62" s="24">
        <v>5</v>
      </c>
      <c r="O62" s="24">
        <f t="shared" si="2"/>
        <v>4.9999664266801496</v>
      </c>
    </row>
    <row r="63" spans="13:15" x14ac:dyDescent="0.2">
      <c r="M63" s="24">
        <v>14.75</v>
      </c>
      <c r="N63" s="24">
        <v>5</v>
      </c>
      <c r="O63" s="24">
        <f t="shared" si="2"/>
        <v>4.9999660731810831</v>
      </c>
    </row>
    <row r="64" spans="13:15" x14ac:dyDescent="0.2">
      <c r="M64" s="24">
        <v>15</v>
      </c>
      <c r="N64" s="24">
        <v>5</v>
      </c>
      <c r="O64" s="24">
        <f t="shared" si="2"/>
        <v>4.9999657288224659</v>
      </c>
    </row>
    <row r="65" spans="13:15" x14ac:dyDescent="0.2">
      <c r="M65" s="24">
        <v>15.25</v>
      </c>
      <c r="N65" s="24">
        <v>5</v>
      </c>
      <c r="O65" s="24">
        <f t="shared" si="2"/>
        <v>4.999965393335577</v>
      </c>
    </row>
    <row r="66" spans="13:15" x14ac:dyDescent="0.2">
      <c r="M66" s="24">
        <v>15.5</v>
      </c>
      <c r="N66" s="24">
        <v>5</v>
      </c>
      <c r="O66" s="24">
        <f t="shared" si="2"/>
        <v>4.9999650664573307</v>
      </c>
    </row>
    <row r="67" spans="13:15" x14ac:dyDescent="0.2">
      <c r="M67" s="24">
        <v>15.75</v>
      </c>
      <c r="N67" s="24">
        <v>5</v>
      </c>
      <c r="O67" s="24">
        <f t="shared" si="2"/>
        <v>4.9999647479305178</v>
      </c>
    </row>
    <row r="68" spans="13:15" x14ac:dyDescent="0.2">
      <c r="M68" s="24">
        <v>16</v>
      </c>
      <c r="N68" s="24">
        <v>5</v>
      </c>
      <c r="O68" s="24">
        <f t="shared" ref="O68:O99" si="3">beta_0_scen+beta_1_scen*((1-EXP(-lambda*M68))/(lambda*M68))+beta_2_scen*((1-EXP(-lambda*M68))/(lambda*M68)-EXP(-lambda*M68))</f>
        <v>4.9999644375039898</v>
      </c>
    </row>
    <row r="69" spans="13:15" x14ac:dyDescent="0.2">
      <c r="M69" s="24">
        <v>16.25</v>
      </c>
      <c r="N69" s="24">
        <v>5</v>
      </c>
      <c r="O69" s="24">
        <f t="shared" si="3"/>
        <v>4.999964134932795</v>
      </c>
    </row>
    <row r="70" spans="13:15" x14ac:dyDescent="0.2">
      <c r="M70" s="24">
        <v>16.5</v>
      </c>
      <c r="N70" s="24">
        <v>5</v>
      </c>
      <c r="O70" s="24">
        <f t="shared" si="3"/>
        <v>4.9999638399782746</v>
      </c>
    </row>
    <row r="71" spans="13:15" x14ac:dyDescent="0.2">
      <c r="M71" s="24">
        <v>16.75</v>
      </c>
      <c r="N71" s="24">
        <v>5</v>
      </c>
      <c r="O71" s="24">
        <f t="shared" si="3"/>
        <v>4.9999635524081141</v>
      </c>
    </row>
    <row r="72" spans="13:15" x14ac:dyDescent="0.2">
      <c r="M72" s="24">
        <v>17</v>
      </c>
      <c r="N72" s="24">
        <v>5</v>
      </c>
      <c r="O72" s="24">
        <f t="shared" si="3"/>
        <v>4.9999632719963696</v>
      </c>
    </row>
    <row r="73" spans="13:15" x14ac:dyDescent="0.2">
      <c r="M73" s="24">
        <v>17.25</v>
      </c>
      <c r="N73" s="24">
        <v>5</v>
      </c>
      <c r="O73" s="24">
        <f t="shared" si="3"/>
        <v>4.9999629985234657</v>
      </c>
    </row>
    <row r="74" spans="13:15" x14ac:dyDescent="0.2">
      <c r="M74" s="24">
        <v>17.5</v>
      </c>
      <c r="N74" s="24">
        <v>5</v>
      </c>
      <c r="O74" s="24">
        <f t="shared" si="3"/>
        <v>4.9999627317761597</v>
      </c>
    </row>
    <row r="75" spans="13:15" x14ac:dyDescent="0.2">
      <c r="M75" s="24">
        <v>17.75</v>
      </c>
      <c r="N75" s="24">
        <v>5</v>
      </c>
      <c r="O75" s="24">
        <f t="shared" si="3"/>
        <v>4.9999624715474935</v>
      </c>
    </row>
    <row r="76" spans="13:15" x14ac:dyDescent="0.2">
      <c r="M76" s="24">
        <v>18</v>
      </c>
      <c r="N76" s="24">
        <v>5</v>
      </c>
      <c r="O76" s="24">
        <f t="shared" si="3"/>
        <v>4.9999622176367264</v>
      </c>
    </row>
    <row r="77" spans="13:15" x14ac:dyDescent="0.2">
      <c r="M77" s="24">
        <v>18.25</v>
      </c>
      <c r="N77" s="24">
        <v>5</v>
      </c>
      <c r="O77" s="24">
        <f t="shared" si="3"/>
        <v>4.9999619698492479</v>
      </c>
    </row>
    <row r="78" spans="13:15" x14ac:dyDescent="0.2">
      <c r="M78" s="24">
        <v>18.5</v>
      </c>
      <c r="N78" s="24">
        <v>5</v>
      </c>
      <c r="O78" s="24">
        <f t="shared" si="3"/>
        <v>4.9999617279964808</v>
      </c>
    </row>
    <row r="79" spans="13:15" x14ac:dyDescent="0.2">
      <c r="M79" s="24">
        <v>18.75</v>
      </c>
      <c r="N79" s="24">
        <v>5</v>
      </c>
      <c r="O79" s="24">
        <f t="shared" si="3"/>
        <v>4.9999614918957729</v>
      </c>
    </row>
    <row r="80" spans="13:15" x14ac:dyDescent="0.2">
      <c r="M80" s="24">
        <v>19</v>
      </c>
      <c r="N80" s="24">
        <v>5</v>
      </c>
      <c r="O80" s="24">
        <f t="shared" si="3"/>
        <v>4.9999612613702782</v>
      </c>
    </row>
    <row r="81" spans="13:15" x14ac:dyDescent="0.2">
      <c r="M81" s="24">
        <v>19.25</v>
      </c>
      <c r="N81" s="24">
        <v>5</v>
      </c>
      <c r="O81" s="24">
        <f t="shared" si="3"/>
        <v>4.9999610362488349</v>
      </c>
    </row>
    <row r="82" spans="13:15" x14ac:dyDescent="0.2">
      <c r="M82" s="24">
        <v>19.5</v>
      </c>
      <c r="N82" s="24">
        <v>5</v>
      </c>
      <c r="O82" s="24">
        <f t="shared" si="3"/>
        <v>4.9999608163658307</v>
      </c>
    </row>
    <row r="83" spans="13:15" x14ac:dyDescent="0.2">
      <c r="M83" s="24">
        <v>19.75</v>
      </c>
      <c r="N83" s="24">
        <v>5</v>
      </c>
      <c r="O83" s="24">
        <f t="shared" si="3"/>
        <v>4.9999606015610727</v>
      </c>
    </row>
    <row r="84" spans="13:15" x14ac:dyDescent="0.2">
      <c r="M84" s="24">
        <v>20</v>
      </c>
      <c r="N84" s="24">
        <v>5</v>
      </c>
      <c r="O84" s="24">
        <f t="shared" si="3"/>
        <v>4.9999603916796431</v>
      </c>
    </row>
    <row r="85" spans="13:15" x14ac:dyDescent="0.2">
      <c r="M85" s="24">
        <v>20.25</v>
      </c>
      <c r="N85" s="24">
        <v>5</v>
      </c>
      <c r="O85" s="24">
        <f t="shared" si="3"/>
        <v>4.9999601865717622</v>
      </c>
    </row>
    <row r="86" spans="13:15" x14ac:dyDescent="0.2">
      <c r="M86" s="24">
        <v>20.5</v>
      </c>
      <c r="N86" s="24">
        <v>5</v>
      </c>
      <c r="O86" s="24">
        <f t="shared" si="3"/>
        <v>4.9999599860926462</v>
      </c>
    </row>
    <row r="87" spans="13:15" x14ac:dyDescent="0.2">
      <c r="M87" s="24">
        <v>20.75</v>
      </c>
      <c r="N87" s="24">
        <v>5</v>
      </c>
      <c r="O87" s="24">
        <f t="shared" si="3"/>
        <v>4.9999597901023591</v>
      </c>
    </row>
    <row r="88" spans="13:15" x14ac:dyDescent="0.2">
      <c r="M88" s="24">
        <v>21</v>
      </c>
      <c r="N88" s="24">
        <v>5</v>
      </c>
      <c r="O88" s="24">
        <f t="shared" si="3"/>
        <v>4.9999595984656802</v>
      </c>
    </row>
    <row r="89" spans="13:15" x14ac:dyDescent="0.2">
      <c r="M89" s="24">
        <v>21.25</v>
      </c>
      <c r="N89" s="24">
        <v>5</v>
      </c>
      <c r="O89" s="24">
        <f t="shared" si="3"/>
        <v>4.9999594110519494</v>
      </c>
    </row>
    <row r="90" spans="13:15" x14ac:dyDescent="0.2">
      <c r="M90" s="24">
        <v>21.5</v>
      </c>
      <c r="N90" s="24">
        <v>5</v>
      </c>
      <c r="O90" s="24">
        <f t="shared" si="3"/>
        <v>4.9999592277349363</v>
      </c>
    </row>
    <row r="91" spans="13:15" x14ac:dyDescent="0.2">
      <c r="M91" s="24">
        <v>21.75</v>
      </c>
      <c r="N91" s="24">
        <v>5</v>
      </c>
      <c r="O91" s="24">
        <f t="shared" si="3"/>
        <v>4.999959048392693</v>
      </c>
    </row>
    <row r="92" spans="13:15" x14ac:dyDescent="0.2">
      <c r="M92" s="24">
        <v>22</v>
      </c>
      <c r="N92" s="24">
        <v>5</v>
      </c>
      <c r="O92" s="24">
        <f t="shared" si="3"/>
        <v>4.9999588729074222</v>
      </c>
    </row>
    <row r="93" spans="13:15" x14ac:dyDescent="0.2">
      <c r="M93" s="24">
        <v>22.25</v>
      </c>
      <c r="N93" s="24">
        <v>5</v>
      </c>
      <c r="O93" s="24">
        <f t="shared" si="3"/>
        <v>4.9999587011653395</v>
      </c>
    </row>
    <row r="94" spans="13:15" x14ac:dyDescent="0.2">
      <c r="M94" s="24">
        <v>22.5</v>
      </c>
      <c r="N94" s="24">
        <v>5</v>
      </c>
      <c r="O94" s="24">
        <f t="shared" si="3"/>
        <v>4.9999585330565379</v>
      </c>
    </row>
    <row r="95" spans="13:15" x14ac:dyDescent="0.2">
      <c r="M95" s="24">
        <v>22.75</v>
      </c>
      <c r="N95" s="24">
        <v>5</v>
      </c>
      <c r="O95" s="24">
        <f t="shared" si="3"/>
        <v>4.9999583684748643</v>
      </c>
    </row>
    <row r="96" spans="13:15" x14ac:dyDescent="0.2">
      <c r="M96" s="24">
        <v>23</v>
      </c>
      <c r="N96" s="24">
        <v>5</v>
      </c>
      <c r="O96" s="24">
        <f t="shared" si="3"/>
        <v>4.9999582073177846</v>
      </c>
    </row>
    <row r="97" spans="13:15" x14ac:dyDescent="0.2">
      <c r="M97" s="24">
        <v>23.25</v>
      </c>
      <c r="N97" s="24">
        <v>5</v>
      </c>
      <c r="O97" s="24">
        <f t="shared" si="3"/>
        <v>4.9999580494862643</v>
      </c>
    </row>
    <row r="98" spans="13:15" x14ac:dyDescent="0.2">
      <c r="M98" s="24">
        <v>23.5</v>
      </c>
      <c r="N98" s="24">
        <v>5</v>
      </c>
      <c r="O98" s="24">
        <f t="shared" si="3"/>
        <v>4.9999578948846448</v>
      </c>
    </row>
    <row r="99" spans="13:15" x14ac:dyDescent="0.2">
      <c r="M99" s="24">
        <v>23.75</v>
      </c>
      <c r="N99" s="24">
        <v>5</v>
      </c>
      <c r="O99" s="24">
        <f t="shared" si="3"/>
        <v>4.9999577434205271</v>
      </c>
    </row>
    <row r="100" spans="13:15" x14ac:dyDescent="0.2">
      <c r="M100" s="24">
        <v>24</v>
      </c>
      <c r="N100" s="24">
        <v>5</v>
      </c>
      <c r="O100" s="24">
        <f t="shared" ref="O100:O124" si="4">beta_0_scen+beta_1_scen*((1-EXP(-lambda*M100))/(lambda*M100))+beta_2_scen*((1-EXP(-lambda*M100))/(lambda*M100)-EXP(-lambda*M100))</f>
        <v>4.9999575950046573</v>
      </c>
    </row>
    <row r="101" spans="13:15" x14ac:dyDescent="0.2">
      <c r="M101" s="24">
        <v>24.25</v>
      </c>
      <c r="N101" s="24">
        <v>5</v>
      </c>
      <c r="O101" s="24">
        <f t="shared" si="4"/>
        <v>4.9999574495508119</v>
      </c>
    </row>
    <row r="102" spans="13:15" x14ac:dyDescent="0.2">
      <c r="M102" s="24">
        <v>24.5</v>
      </c>
      <c r="N102" s="24">
        <v>5</v>
      </c>
      <c r="O102" s="24">
        <f t="shared" si="4"/>
        <v>4.9999573069756948</v>
      </c>
    </row>
    <row r="103" spans="13:15" x14ac:dyDescent="0.2">
      <c r="M103" s="24">
        <v>24.75</v>
      </c>
      <c r="N103" s="24">
        <v>5</v>
      </c>
      <c r="O103" s="24">
        <f t="shared" si="4"/>
        <v>4.9999571671988292</v>
      </c>
    </row>
    <row r="104" spans="13:15" x14ac:dyDescent="0.2">
      <c r="M104" s="24">
        <v>25</v>
      </c>
      <c r="N104" s="24">
        <v>5</v>
      </c>
      <c r="O104" s="24">
        <f t="shared" si="4"/>
        <v>4.9999570301424558</v>
      </c>
    </row>
    <row r="105" spans="13:15" x14ac:dyDescent="0.2">
      <c r="M105" s="24">
        <v>25.25</v>
      </c>
      <c r="N105" s="24">
        <v>5</v>
      </c>
      <c r="O105" s="24">
        <f t="shared" si="4"/>
        <v>4.9999568957314358</v>
      </c>
    </row>
    <row r="106" spans="13:15" x14ac:dyDescent="0.2">
      <c r="M106" s="24">
        <v>25.5</v>
      </c>
      <c r="N106" s="24">
        <v>5</v>
      </c>
      <c r="O106" s="24">
        <f t="shared" si="4"/>
        <v>4.999956763893155</v>
      </c>
    </row>
    <row r="107" spans="13:15" x14ac:dyDescent="0.2">
      <c r="M107" s="24">
        <v>25.75</v>
      </c>
      <c r="N107" s="24">
        <v>5</v>
      </c>
      <c r="O107" s="24">
        <f t="shared" si="4"/>
        <v>4.9999566345574333</v>
      </c>
    </row>
    <row r="108" spans="13:15" x14ac:dyDescent="0.2">
      <c r="M108" s="24">
        <v>26</v>
      </c>
      <c r="N108" s="24">
        <v>5</v>
      </c>
      <c r="O108" s="24">
        <f t="shared" si="4"/>
        <v>4.9999565076564361</v>
      </c>
    </row>
    <row r="109" spans="13:15" x14ac:dyDescent="0.2">
      <c r="M109" s="24">
        <v>26.25</v>
      </c>
      <c r="N109" s="24">
        <v>5</v>
      </c>
      <c r="O109" s="24">
        <f t="shared" si="4"/>
        <v>4.9999563831245846</v>
      </c>
    </row>
    <row r="110" spans="13:15" x14ac:dyDescent="0.2">
      <c r="M110" s="24">
        <v>26.5</v>
      </c>
      <c r="N110" s="24">
        <v>5</v>
      </c>
      <c r="O110" s="24">
        <f t="shared" si="4"/>
        <v>4.9999562608984789</v>
      </c>
    </row>
    <row r="111" spans="13:15" x14ac:dyDescent="0.2">
      <c r="M111" s="24">
        <v>26.75</v>
      </c>
      <c r="N111" s="24">
        <v>5</v>
      </c>
      <c r="O111" s="24">
        <f t="shared" si="4"/>
        <v>4.9999561409168143</v>
      </c>
    </row>
    <row r="112" spans="13:15" x14ac:dyDescent="0.2">
      <c r="M112" s="24">
        <v>27</v>
      </c>
      <c r="N112" s="24">
        <v>5</v>
      </c>
      <c r="O112" s="24">
        <f t="shared" si="4"/>
        <v>4.9999560231203057</v>
      </c>
    </row>
    <row r="113" spans="13:15" x14ac:dyDescent="0.2">
      <c r="M113" s="24">
        <v>27.25</v>
      </c>
      <c r="N113" s="24">
        <v>5</v>
      </c>
      <c r="O113" s="24">
        <f t="shared" si="4"/>
        <v>4.9999559074516151</v>
      </c>
    </row>
    <row r="114" spans="13:15" x14ac:dyDescent="0.2">
      <c r="M114" s="24">
        <v>27.5</v>
      </c>
      <c r="N114" s="24">
        <v>5</v>
      </c>
      <c r="O114" s="24">
        <f t="shared" si="4"/>
        <v>4.9999557938552739</v>
      </c>
    </row>
    <row r="115" spans="13:15" x14ac:dyDescent="0.2">
      <c r="M115" s="24">
        <v>27.75</v>
      </c>
      <c r="N115" s="24">
        <v>5</v>
      </c>
      <c r="O115" s="24">
        <f t="shared" si="4"/>
        <v>4.9999556822776237</v>
      </c>
    </row>
    <row r="116" spans="13:15" x14ac:dyDescent="0.2">
      <c r="M116" s="24">
        <v>28</v>
      </c>
      <c r="N116" s="24">
        <v>5</v>
      </c>
      <c r="O116" s="24">
        <f t="shared" si="4"/>
        <v>4.9999555726667433</v>
      </c>
    </row>
    <row r="117" spans="13:15" x14ac:dyDescent="0.2">
      <c r="M117" s="24">
        <v>28.25</v>
      </c>
      <c r="N117" s="24">
        <v>5</v>
      </c>
      <c r="O117" s="24">
        <f t="shared" si="4"/>
        <v>4.999955464972385</v>
      </c>
    </row>
    <row r="118" spans="13:15" x14ac:dyDescent="0.2">
      <c r="M118" s="24">
        <v>28.5</v>
      </c>
      <c r="N118" s="24">
        <v>5</v>
      </c>
      <c r="O118" s="24">
        <f t="shared" si="4"/>
        <v>4.9999553591459192</v>
      </c>
    </row>
    <row r="119" spans="13:15" x14ac:dyDescent="0.2">
      <c r="M119" s="24">
        <v>28.75</v>
      </c>
      <c r="N119" s="24">
        <v>5</v>
      </c>
      <c r="O119" s="24">
        <f t="shared" si="4"/>
        <v>4.9999552551402662</v>
      </c>
    </row>
    <row r="120" spans="13:15" x14ac:dyDescent="0.2">
      <c r="M120" s="24">
        <v>29</v>
      </c>
      <c r="N120" s="24">
        <v>5</v>
      </c>
      <c r="O120" s="24">
        <f t="shared" si="4"/>
        <v>4.9999551529098474</v>
      </c>
    </row>
    <row r="121" spans="13:15" x14ac:dyDescent="0.2">
      <c r="M121" s="24">
        <v>29.25</v>
      </c>
      <c r="N121" s="24">
        <v>5</v>
      </c>
      <c r="O121" s="24">
        <f t="shared" si="4"/>
        <v>4.9999550524105274</v>
      </c>
    </row>
    <row r="122" spans="13:15" x14ac:dyDescent="0.2">
      <c r="M122" s="24">
        <v>29.5</v>
      </c>
      <c r="N122" s="24">
        <v>5</v>
      </c>
      <c r="O122" s="24">
        <f t="shared" si="4"/>
        <v>4.99995495359956</v>
      </c>
    </row>
    <row r="123" spans="13:15" x14ac:dyDescent="0.2">
      <c r="M123" s="24">
        <v>29.75</v>
      </c>
      <c r="N123" s="24">
        <v>5</v>
      </c>
      <c r="O123" s="24">
        <f t="shared" si="4"/>
        <v>4.9999548564355409</v>
      </c>
    </row>
    <row r="124" spans="13:15" x14ac:dyDescent="0.2">
      <c r="M124" s="24">
        <v>30</v>
      </c>
      <c r="N124" s="24">
        <v>5</v>
      </c>
      <c r="O124" s="24">
        <f t="shared" si="4"/>
        <v>4.9999547608783574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16C2FC-DC69-4F71-8D38-C23EE67CADFB}">
  <ds:schemaRefs>
    <ds:schemaRef ds:uri="909f915b-ce8e-490f-99f5-b5325376a70b"/>
    <ds:schemaRef ds:uri="http://purl.org/dc/elements/1.1/"/>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6a327845-9b51-4b97-9d66-4acf00a098f1"/>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A9266AD5-F3DC-4AD9-8E08-5FAD93D47094}">
  <ds:schemaRefs>
    <ds:schemaRef ds:uri="http://schemas.microsoft.com/sharepoint/v3/contenttype/forms"/>
  </ds:schemaRefs>
</ds:datastoreItem>
</file>

<file path=customXml/itemProps3.xml><?xml version="1.0" encoding="utf-8"?>
<ds:datastoreItem xmlns:ds="http://schemas.openxmlformats.org/officeDocument/2006/customXml" ds:itemID="{B1E30E8C-C8B9-4465-94EC-D329AD760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DISCLAIMER</vt:lpstr>
      <vt:lpstr>NS</vt:lpstr>
      <vt:lpstr>Bond 101</vt:lpstr>
      <vt:lpstr>Scenarios</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current_maturities</vt:lpstr>
      <vt:lpstr>current_rates</vt:lpstr>
      <vt:lpstr>hump_choices</vt:lpstr>
      <vt:lpstr>hump_ix</vt:lpstr>
      <vt:lpstr>hump_mat</vt:lpstr>
      <vt:lpstr>lambda</vt:lpstr>
      <vt:lpstr>lambdas</vt:lpstr>
      <vt:lpstr>ns_maturities</vt:lpstr>
      <vt:lpstr>ns_table</vt:lpstr>
      <vt:lpstr>ns_yields</vt:lpstr>
      <vt:lpstr>obs_date</vt:lpstr>
      <vt:lpstr>scen_mat_a</vt:lpstr>
      <vt:lpstr>scen_mat_b</vt:lpstr>
      <vt:lpstr>ss_err_scen</vt:lpstr>
      <vt:lpstr>sumsq_err_ns</vt:lpstr>
      <vt:lpstr>yields_used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Roberts Grava</cp:lastModifiedBy>
  <dcterms:created xsi:type="dcterms:W3CDTF">2024-10-13T11:26:12Z</dcterms:created>
  <dcterms:modified xsi:type="dcterms:W3CDTF">2024-10-14T07:00:50Z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
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3" codeName="{CEAC5D1E-EA50-3977-4720-3AE11EBBE5F1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miholdingsltd-my.sharepoint.com/personal/roberts_grava_caiml_com/Documents/CAIM/2024/2410 CB Seminar/optimisation/"/>
    </mc:Choice>
  </mc:AlternateContent>
  <xr:revisionPtr revIDLastSave="54" documentId="11_7D9CA01DD62A619BEF30D2DCB007BB00E6DA4BAD" xr6:coauthVersionLast="47" xr6:coauthVersionMax="47" xr10:uidLastSave="{7DA358ED-79BE-D245-A627-CFCA4569EB8F}"/>
  <bookViews>
    <workbookView xWindow="-12760" yWindow="-29980" windowWidth="33240" windowHeight="22260" xr2:uid="{00000000-000D-0000-FFFF-FFFF00000000}"/>
  </bookViews>
  <sheets>
    <sheet name="LP Model" sheetId="8" r:id="rId1"/>
    <sheet name="Boiler Room" sheetId="7" r:id="rId2"/>
  </sheets>
  <externalReferences>
    <externalReference r:id="rId3"/>
  </externalReferences>
  <definedNames>
    <definedName name="assetnames">[1]Univariate!$C$12:$L$12</definedName>
    <definedName name="assetrets">'Boiler Room'!$J$8:$L$27</definedName>
    <definedName name="assetwts">'LP Model'!$D$12:$F$12</definedName>
    <definedName name="b">'LP Model'!$AE$22:$AE$48</definedName>
    <definedName name="beq">'LP Model'!$AE$21</definedName>
    <definedName name="chronological" localSheetId="0">#REF!</definedName>
    <definedName name="chronological">#REF!</definedName>
    <definedName name="confidence">'LP Model'!$D$3</definedName>
    <definedName name="consval">'LP Model'!$AC$22</definedName>
    <definedName name="covmtx">[1]Dependence!$C$19:$L$28</definedName>
    <definedName name="cvarcoef">'Boiler Room'!$O$4</definedName>
    <definedName name="cvarrow">'LP Model'!$D$51:$AA$51</definedName>
    <definedName name="enddate" localSheetId="0">#REF!</definedName>
    <definedName name="enddate">#REF!</definedName>
    <definedName name="expretrow">'LP Model'!$D$50:$AA$50</definedName>
    <definedName name="exprets">'Boiler Room'!$J$3:$L$3</definedName>
    <definedName name="fill">#REF!</definedName>
    <definedName name="lb">'LP Model'!$G$5:$I$5</definedName>
    <definedName name="meana">'[1]Risk Measures'!$C$4</definedName>
    <definedName name="meanb">'[1]Risk Measures'!$D$4</definedName>
    <definedName name="modelvar">'LP Model'!$G$12</definedName>
    <definedName name="monthlyrets">[1]Univariate!$O$14:$X$144</definedName>
    <definedName name="numobs">'Boiler Room'!$O$3</definedName>
    <definedName name="objfun">'LP Model'!$D$16:$AA$16</definedName>
    <definedName name="objval">'LP Model'!$AC$12</definedName>
    <definedName name="opttype">'LP Model'!$D$4</definedName>
    <definedName name="opttypeix">'Boiler Room'!$N$7</definedName>
    <definedName name="opttypes">'Boiler Room'!$N$9:$N$12</definedName>
    <definedName name="period">#REF!</definedName>
    <definedName name="portrets">'LP Model'!$AH$23:$AH$42</definedName>
    <definedName name="portwts">[1]Multivariate!$C$4:$L$8</definedName>
    <definedName name="prets">'LP Model'!$AH$23:$AH$42</definedName>
    <definedName name="randomwts">'Boiler Room'!$Q$10:$S$10</definedName>
    <definedName name="req">'LP Model'!$AC$21</definedName>
    <definedName name="res">'LP Model'!$AC$22:$AC$48</definedName>
    <definedName name="reseq">'LP Model'!$AC$21</definedName>
    <definedName name="rollinganndates">[1]Univariate!$Z$25:$Z$144</definedName>
    <definedName name="rollingannrets">[1]Univariate!$AA$25:$AJ$144</definedName>
    <definedName name="showcvar">'[1]Risk Measures'!#REF!</definedName>
    <definedName name="showvar">'[1]Risk Measures'!#REF!</definedName>
    <definedName name="solution">'LP Model'!$D$12:$AA$12</definedName>
    <definedName name="solver_adj" localSheetId="0" hidden="1">'LP Model'!$D$12:$AA$12</definedName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'LP Model'!$AC$21</definedName>
    <definedName name="solver_lhs2" localSheetId="0" hidden="1">'LP Model'!$AC$22:$AC$48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2</definedName>
    <definedName name="solver_nwt" localSheetId="0" hidden="1">1</definedName>
    <definedName name="solver_opt" localSheetId="0" hidden="1">'LP Model'!$AC$12</definedName>
    <definedName name="solver_pre" localSheetId="0" hidden="1">0.000001</definedName>
    <definedName name="solver_rbv" localSheetId="0" hidden="1">2</definedName>
    <definedName name="solver_rel1" localSheetId="0" hidden="1">2</definedName>
    <definedName name="solver_rel2" localSheetId="0" hidden="1">3</definedName>
    <definedName name="solver_rhs1" localSheetId="0" hidden="1">beq</definedName>
    <definedName name="solver_rhs2" localSheetId="0" hidden="1">b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  <definedName name="startdate">#REF!</definedName>
    <definedName name="stdevs">[1]Dependence!$C$34:$L$34</definedName>
    <definedName name="target">'LP Model'!$D$5</definedName>
    <definedName name="tol">'Boiler Room'!$O$5</definedName>
    <definedName name="ub">'LP Model'!$G$6:$I$6</definedName>
    <definedName name="value">'LP Model'!$AC$12</definedName>
    <definedName name="vola">'[1]Risk Measures'!$C$5</definedName>
    <definedName name="volb">'[1]Risk Measures'!$D$5</definedName>
    <definedName name="zerorow">'LP Model'!#REF!</definedName>
    <definedName name="zmax">'[1]Boiler Room'!$B$2</definedName>
    <definedName name="zmin">'[1]Boiler Room'!$B$1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7" i="7" l="1"/>
  <c r="S9" i="7"/>
  <c r="R9" i="7"/>
  <c r="Q9" i="7"/>
  <c r="S10" i="7" l="1"/>
  <c r="Q10" i="7"/>
  <c r="R10" i="7"/>
  <c r="K6" i="8"/>
  <c r="K5" i="8"/>
  <c r="G7" i="8" a="1"/>
  <c r="G7" i="8" s="1"/>
  <c r="O3" i="7"/>
  <c r="O4" i="7" s="1"/>
  <c r="L5" i="8"/>
  <c r="D4" i="8"/>
  <c r="H21" i="8"/>
  <c r="I21" i="8"/>
  <c r="J21" i="8"/>
  <c r="K21" i="8"/>
  <c r="L21" i="8"/>
  <c r="M21" i="8"/>
  <c r="N21" i="8"/>
  <c r="O21" i="8"/>
  <c r="P21" i="8"/>
  <c r="Q21" i="8"/>
  <c r="R21" i="8"/>
  <c r="S21" i="8"/>
  <c r="T21" i="8"/>
  <c r="U21" i="8"/>
  <c r="V21" i="8"/>
  <c r="W21" i="8"/>
  <c r="X21" i="8"/>
  <c r="Y21" i="8"/>
  <c r="Z21" i="8"/>
  <c r="AA21" i="8"/>
  <c r="AE43" i="8" a="1"/>
  <c r="AE44" i="8" s="1"/>
  <c r="AE46" i="8" a="1"/>
  <c r="AE46" i="8" s="1"/>
  <c r="H24" i="8"/>
  <c r="I24" i="8"/>
  <c r="J24" i="8"/>
  <c r="K24" i="8"/>
  <c r="L24" i="8"/>
  <c r="M24" i="8"/>
  <c r="N24" i="8"/>
  <c r="O24" i="8"/>
  <c r="P24" i="8"/>
  <c r="Q24" i="8"/>
  <c r="R24" i="8"/>
  <c r="S24" i="8"/>
  <c r="T24" i="8"/>
  <c r="U24" i="8"/>
  <c r="V24" i="8"/>
  <c r="W24" i="8"/>
  <c r="X24" i="8"/>
  <c r="Y24" i="8"/>
  <c r="Z24" i="8"/>
  <c r="AA24" i="8"/>
  <c r="H25" i="8"/>
  <c r="I25" i="8"/>
  <c r="J25" i="8"/>
  <c r="K25" i="8"/>
  <c r="L25" i="8"/>
  <c r="M25" i="8"/>
  <c r="N25" i="8"/>
  <c r="O25" i="8"/>
  <c r="P25" i="8"/>
  <c r="Q25" i="8"/>
  <c r="R25" i="8"/>
  <c r="S25" i="8"/>
  <c r="T25" i="8"/>
  <c r="U25" i="8"/>
  <c r="V25" i="8"/>
  <c r="W25" i="8"/>
  <c r="X25" i="8"/>
  <c r="Y25" i="8"/>
  <c r="Z25" i="8"/>
  <c r="AA25" i="8"/>
  <c r="H26" i="8"/>
  <c r="I26" i="8"/>
  <c r="J26" i="8"/>
  <c r="K26" i="8"/>
  <c r="L26" i="8"/>
  <c r="M26" i="8"/>
  <c r="N26" i="8"/>
  <c r="O26" i="8"/>
  <c r="P26" i="8"/>
  <c r="Q26" i="8"/>
  <c r="R26" i="8"/>
  <c r="S26" i="8"/>
  <c r="T26" i="8"/>
  <c r="U26" i="8"/>
  <c r="V26" i="8"/>
  <c r="W26" i="8"/>
  <c r="X26" i="8"/>
  <c r="Y26" i="8"/>
  <c r="Z26" i="8"/>
  <c r="AA26" i="8"/>
  <c r="H27" i="8"/>
  <c r="I27" i="8"/>
  <c r="J27" i="8"/>
  <c r="K27" i="8"/>
  <c r="L27" i="8"/>
  <c r="M27" i="8"/>
  <c r="N27" i="8"/>
  <c r="O27" i="8"/>
  <c r="P27" i="8"/>
  <c r="Q27" i="8"/>
  <c r="R27" i="8"/>
  <c r="S27" i="8"/>
  <c r="T27" i="8"/>
  <c r="U27" i="8"/>
  <c r="V27" i="8"/>
  <c r="W27" i="8"/>
  <c r="X27" i="8"/>
  <c r="Y27" i="8"/>
  <c r="Z27" i="8"/>
  <c r="AA27" i="8"/>
  <c r="H28" i="8"/>
  <c r="I28" i="8"/>
  <c r="J28" i="8"/>
  <c r="K28" i="8"/>
  <c r="L28" i="8"/>
  <c r="M28" i="8"/>
  <c r="N28" i="8"/>
  <c r="O28" i="8"/>
  <c r="P28" i="8"/>
  <c r="Q28" i="8"/>
  <c r="R28" i="8"/>
  <c r="S28" i="8"/>
  <c r="T28" i="8"/>
  <c r="U28" i="8"/>
  <c r="V28" i="8"/>
  <c r="W28" i="8"/>
  <c r="X28" i="8"/>
  <c r="Y28" i="8"/>
  <c r="Z28" i="8"/>
  <c r="AA28" i="8"/>
  <c r="H29" i="8"/>
  <c r="I29" i="8"/>
  <c r="J29" i="8"/>
  <c r="K29" i="8"/>
  <c r="L29" i="8"/>
  <c r="M29" i="8"/>
  <c r="N29" i="8"/>
  <c r="O29" i="8"/>
  <c r="P29" i="8"/>
  <c r="Q29" i="8"/>
  <c r="R29" i="8"/>
  <c r="S29" i="8"/>
  <c r="T29" i="8"/>
  <c r="U29" i="8"/>
  <c r="V29" i="8"/>
  <c r="W29" i="8"/>
  <c r="X29" i="8"/>
  <c r="Y29" i="8"/>
  <c r="Z29" i="8"/>
  <c r="AA29" i="8"/>
  <c r="H30" i="8"/>
  <c r="I30" i="8"/>
  <c r="J30" i="8"/>
  <c r="K30" i="8"/>
  <c r="L30" i="8"/>
  <c r="M30" i="8"/>
  <c r="N30" i="8"/>
  <c r="O30" i="8"/>
  <c r="P30" i="8"/>
  <c r="Q30" i="8"/>
  <c r="R30" i="8"/>
  <c r="S30" i="8"/>
  <c r="T30" i="8"/>
  <c r="U30" i="8"/>
  <c r="V30" i="8"/>
  <c r="W30" i="8"/>
  <c r="X30" i="8"/>
  <c r="Y30" i="8"/>
  <c r="Z30" i="8"/>
  <c r="AA30" i="8"/>
  <c r="H31" i="8"/>
  <c r="I31" i="8"/>
  <c r="J31" i="8"/>
  <c r="K31" i="8"/>
  <c r="L31" i="8"/>
  <c r="M31" i="8"/>
  <c r="N31" i="8"/>
  <c r="O31" i="8"/>
  <c r="P31" i="8"/>
  <c r="Q31" i="8"/>
  <c r="R31" i="8"/>
  <c r="S31" i="8"/>
  <c r="T31" i="8"/>
  <c r="U31" i="8"/>
  <c r="V31" i="8"/>
  <c r="W31" i="8"/>
  <c r="X31" i="8"/>
  <c r="Y31" i="8"/>
  <c r="Z31" i="8"/>
  <c r="AA31" i="8"/>
  <c r="H32" i="8"/>
  <c r="I32" i="8"/>
  <c r="J32" i="8"/>
  <c r="K32" i="8"/>
  <c r="L32" i="8"/>
  <c r="M32" i="8"/>
  <c r="N32" i="8"/>
  <c r="O32" i="8"/>
  <c r="P32" i="8"/>
  <c r="Q32" i="8"/>
  <c r="R32" i="8"/>
  <c r="S32" i="8"/>
  <c r="T32" i="8"/>
  <c r="U32" i="8"/>
  <c r="V32" i="8"/>
  <c r="W32" i="8"/>
  <c r="X32" i="8"/>
  <c r="Y32" i="8"/>
  <c r="Z32" i="8"/>
  <c r="AA32" i="8"/>
  <c r="H33" i="8"/>
  <c r="I33" i="8"/>
  <c r="J33" i="8"/>
  <c r="K33" i="8"/>
  <c r="L33" i="8"/>
  <c r="M33" i="8"/>
  <c r="N33" i="8"/>
  <c r="O33" i="8"/>
  <c r="P33" i="8"/>
  <c r="Q33" i="8"/>
  <c r="R33" i="8"/>
  <c r="S33" i="8"/>
  <c r="T33" i="8"/>
  <c r="U33" i="8"/>
  <c r="V33" i="8"/>
  <c r="W33" i="8"/>
  <c r="X33" i="8"/>
  <c r="Y33" i="8"/>
  <c r="Z33" i="8"/>
  <c r="AA33" i="8"/>
  <c r="H34" i="8"/>
  <c r="I34" i="8"/>
  <c r="J34" i="8"/>
  <c r="K34" i="8"/>
  <c r="L34" i="8"/>
  <c r="M34" i="8"/>
  <c r="N34" i="8"/>
  <c r="O34" i="8"/>
  <c r="P34" i="8"/>
  <c r="Q34" i="8"/>
  <c r="R34" i="8"/>
  <c r="S34" i="8"/>
  <c r="T34" i="8"/>
  <c r="U34" i="8"/>
  <c r="V34" i="8"/>
  <c r="W34" i="8"/>
  <c r="X34" i="8"/>
  <c r="Y34" i="8"/>
  <c r="Z34" i="8"/>
  <c r="AA34" i="8"/>
  <c r="H35" i="8"/>
  <c r="I35" i="8"/>
  <c r="J35" i="8"/>
  <c r="K35" i="8"/>
  <c r="L35" i="8"/>
  <c r="M35" i="8"/>
  <c r="N35" i="8"/>
  <c r="O35" i="8"/>
  <c r="P35" i="8"/>
  <c r="Q35" i="8"/>
  <c r="R35" i="8"/>
  <c r="S35" i="8"/>
  <c r="T35" i="8"/>
  <c r="U35" i="8"/>
  <c r="V35" i="8"/>
  <c r="W35" i="8"/>
  <c r="X35" i="8"/>
  <c r="Y35" i="8"/>
  <c r="Z35" i="8"/>
  <c r="AA35" i="8"/>
  <c r="H36" i="8"/>
  <c r="I36" i="8"/>
  <c r="J36" i="8"/>
  <c r="K36" i="8"/>
  <c r="L36" i="8"/>
  <c r="M36" i="8"/>
  <c r="N36" i="8"/>
  <c r="O36" i="8"/>
  <c r="P36" i="8"/>
  <c r="Q36" i="8"/>
  <c r="R36" i="8"/>
  <c r="S36" i="8"/>
  <c r="T36" i="8"/>
  <c r="U36" i="8"/>
  <c r="V36" i="8"/>
  <c r="W36" i="8"/>
  <c r="X36" i="8"/>
  <c r="Y36" i="8"/>
  <c r="Z36" i="8"/>
  <c r="AA36" i="8"/>
  <c r="H37" i="8"/>
  <c r="I37" i="8"/>
  <c r="J37" i="8"/>
  <c r="K37" i="8"/>
  <c r="L37" i="8"/>
  <c r="M37" i="8"/>
  <c r="N37" i="8"/>
  <c r="O37" i="8"/>
  <c r="P37" i="8"/>
  <c r="Q37" i="8"/>
  <c r="R37" i="8"/>
  <c r="S37" i="8"/>
  <c r="T37" i="8"/>
  <c r="U37" i="8"/>
  <c r="V37" i="8"/>
  <c r="W37" i="8"/>
  <c r="X37" i="8"/>
  <c r="Y37" i="8"/>
  <c r="Z37" i="8"/>
  <c r="AA37" i="8"/>
  <c r="H38" i="8"/>
  <c r="I38" i="8"/>
  <c r="J38" i="8"/>
  <c r="K38" i="8"/>
  <c r="L38" i="8"/>
  <c r="M38" i="8"/>
  <c r="N38" i="8"/>
  <c r="O38" i="8"/>
  <c r="P38" i="8"/>
  <c r="Q38" i="8"/>
  <c r="R38" i="8"/>
  <c r="S38" i="8"/>
  <c r="T38" i="8"/>
  <c r="U38" i="8"/>
  <c r="V38" i="8"/>
  <c r="W38" i="8"/>
  <c r="X38" i="8"/>
  <c r="Y38" i="8"/>
  <c r="Z38" i="8"/>
  <c r="AA38" i="8"/>
  <c r="H39" i="8"/>
  <c r="I39" i="8"/>
  <c r="J39" i="8"/>
  <c r="K39" i="8"/>
  <c r="L39" i="8"/>
  <c r="M39" i="8"/>
  <c r="N39" i="8"/>
  <c r="O39" i="8"/>
  <c r="P39" i="8"/>
  <c r="Q39" i="8"/>
  <c r="R39" i="8"/>
  <c r="S39" i="8"/>
  <c r="T39" i="8"/>
  <c r="U39" i="8"/>
  <c r="V39" i="8"/>
  <c r="W39" i="8"/>
  <c r="X39" i="8"/>
  <c r="Y39" i="8"/>
  <c r="Z39" i="8"/>
  <c r="AA39" i="8"/>
  <c r="H40" i="8"/>
  <c r="I40" i="8"/>
  <c r="J40" i="8"/>
  <c r="K40" i="8"/>
  <c r="L40" i="8"/>
  <c r="M40" i="8"/>
  <c r="N40" i="8"/>
  <c r="O40" i="8"/>
  <c r="P40" i="8"/>
  <c r="Q40" i="8"/>
  <c r="R40" i="8"/>
  <c r="S40" i="8"/>
  <c r="T40" i="8"/>
  <c r="U40" i="8"/>
  <c r="V40" i="8"/>
  <c r="W40" i="8"/>
  <c r="X40" i="8"/>
  <c r="Y40" i="8"/>
  <c r="Z40" i="8"/>
  <c r="AA40" i="8"/>
  <c r="H41" i="8"/>
  <c r="I41" i="8"/>
  <c r="J41" i="8"/>
  <c r="K41" i="8"/>
  <c r="L41" i="8"/>
  <c r="M41" i="8"/>
  <c r="N41" i="8"/>
  <c r="O41" i="8"/>
  <c r="P41" i="8"/>
  <c r="Q41" i="8"/>
  <c r="R41" i="8"/>
  <c r="S41" i="8"/>
  <c r="T41" i="8"/>
  <c r="U41" i="8"/>
  <c r="V41" i="8"/>
  <c r="W41" i="8"/>
  <c r="X41" i="8"/>
  <c r="Y41" i="8"/>
  <c r="Z41" i="8"/>
  <c r="AA41" i="8"/>
  <c r="H42" i="8"/>
  <c r="I42" i="8"/>
  <c r="J42" i="8"/>
  <c r="K42" i="8"/>
  <c r="L42" i="8"/>
  <c r="M42" i="8"/>
  <c r="N42" i="8"/>
  <c r="O42" i="8"/>
  <c r="P42" i="8"/>
  <c r="Q42" i="8"/>
  <c r="R42" i="8"/>
  <c r="S42" i="8"/>
  <c r="T42" i="8"/>
  <c r="U42" i="8"/>
  <c r="V42" i="8"/>
  <c r="W42" i="8"/>
  <c r="X42" i="8"/>
  <c r="Y42" i="8"/>
  <c r="Z42" i="8"/>
  <c r="AA42" i="8"/>
  <c r="I23" i="8"/>
  <c r="J23" i="8"/>
  <c r="K23" i="8"/>
  <c r="L23" i="8"/>
  <c r="M23" i="8"/>
  <c r="N23" i="8"/>
  <c r="O23" i="8"/>
  <c r="P23" i="8"/>
  <c r="Q23" i="8"/>
  <c r="R23" i="8"/>
  <c r="S23" i="8"/>
  <c r="T23" i="8"/>
  <c r="U23" i="8"/>
  <c r="V23" i="8"/>
  <c r="W23" i="8"/>
  <c r="X23" i="8"/>
  <c r="Y23" i="8"/>
  <c r="Z23" i="8"/>
  <c r="AA23" i="8"/>
  <c r="H23" i="8"/>
  <c r="D47" i="8"/>
  <c r="E47" i="8"/>
  <c r="F47" i="8"/>
  <c r="D48" i="8"/>
  <c r="E48" i="8"/>
  <c r="F48" i="8"/>
  <c r="E46" i="8"/>
  <c r="F46" i="8"/>
  <c r="D46" i="8"/>
  <c r="D44" i="8"/>
  <c r="E44" i="8"/>
  <c r="F44" i="8"/>
  <c r="D45" i="8"/>
  <c r="E45" i="8"/>
  <c r="F45" i="8"/>
  <c r="E43" i="8"/>
  <c r="F43" i="8"/>
  <c r="D43" i="8"/>
  <c r="AE22" i="8" l="1"/>
  <c r="AC43" i="8" a="1"/>
  <c r="AC43" i="8" s="1"/>
  <c r="AC21" i="8" a="1"/>
  <c r="AC21" i="8" s="1"/>
  <c r="AF21" i="8" s="1"/>
  <c r="AC45" i="8" a="1"/>
  <c r="AC45" i="8" s="1"/>
  <c r="AC44" i="8" a="1"/>
  <c r="AC44" i="8" s="1"/>
  <c r="AF44" i="8" s="1"/>
  <c r="AC46" i="8" a="1"/>
  <c r="AC46" i="8" s="1"/>
  <c r="AF46" i="8" s="1"/>
  <c r="AC48" i="8" a="1"/>
  <c r="AC48" i="8" s="1"/>
  <c r="AC47" i="8" a="1"/>
  <c r="AC47" i="8" s="1"/>
  <c r="H7" i="8"/>
  <c r="I7" i="8"/>
  <c r="AE45" i="8"/>
  <c r="AE43" i="8"/>
  <c r="AE47" i="8"/>
  <c r="AE48" i="8"/>
  <c r="C3" i="7"/>
  <c r="D3" i="7"/>
  <c r="C4" i="7"/>
  <c r="D4" i="7"/>
  <c r="B4" i="7"/>
  <c r="B3" i="7"/>
  <c r="F10" i="7" s="1"/>
  <c r="J10" i="7" s="1"/>
  <c r="AF47" i="8" l="1"/>
  <c r="AF45" i="8"/>
  <c r="AF48" i="8"/>
  <c r="AF43" i="8"/>
  <c r="I51" i="8"/>
  <c r="K51" i="8"/>
  <c r="M51" i="8"/>
  <c r="O51" i="8"/>
  <c r="Q51" i="8"/>
  <c r="S51" i="8"/>
  <c r="U51" i="8"/>
  <c r="W51" i="8"/>
  <c r="Y51" i="8"/>
  <c r="AA51" i="8"/>
  <c r="J51" i="8"/>
  <c r="L51" i="8"/>
  <c r="N51" i="8"/>
  <c r="P51" i="8"/>
  <c r="R51" i="8"/>
  <c r="T51" i="8"/>
  <c r="V51" i="8"/>
  <c r="X51" i="8"/>
  <c r="Z51" i="8"/>
  <c r="H51" i="8"/>
  <c r="H10" i="7"/>
  <c r="L10" i="7" s="1"/>
  <c r="H8" i="7"/>
  <c r="L8" i="7" s="1"/>
  <c r="F27" i="7"/>
  <c r="J27" i="7" s="1"/>
  <c r="H23" i="7"/>
  <c r="L23" i="7" s="1"/>
  <c r="H21" i="7"/>
  <c r="L21" i="7" s="1"/>
  <c r="F19" i="7"/>
  <c r="J19" i="7" s="1"/>
  <c r="H15" i="7"/>
  <c r="L15" i="7" s="1"/>
  <c r="H13" i="7"/>
  <c r="L13" i="7" s="1"/>
  <c r="F11" i="7"/>
  <c r="J11" i="7" s="1"/>
  <c r="F9" i="7"/>
  <c r="J9" i="7" s="1"/>
  <c r="H27" i="7"/>
  <c r="L27" i="7" s="1"/>
  <c r="H25" i="7"/>
  <c r="L25" i="7" s="1"/>
  <c r="F23" i="7"/>
  <c r="J23" i="7" s="1"/>
  <c r="H19" i="7"/>
  <c r="L19" i="7" s="1"/>
  <c r="H17" i="7"/>
  <c r="L17" i="7" s="1"/>
  <c r="F15" i="7"/>
  <c r="J15" i="7" s="1"/>
  <c r="H11" i="7"/>
  <c r="L11" i="7" s="1"/>
  <c r="H9" i="7"/>
  <c r="L9" i="7" s="1"/>
  <c r="G12" i="7"/>
  <c r="K12" i="7" s="1"/>
  <c r="G24" i="7"/>
  <c r="K24" i="7" s="1"/>
  <c r="G20" i="7"/>
  <c r="K20" i="7" s="1"/>
  <c r="G16" i="7"/>
  <c r="K16" i="7" s="1"/>
  <c r="G9" i="7"/>
  <c r="K9" i="7" s="1"/>
  <c r="G11" i="7"/>
  <c r="K11" i="7" s="1"/>
  <c r="G13" i="7"/>
  <c r="K13" i="7" s="1"/>
  <c r="G15" i="7"/>
  <c r="K15" i="7" s="1"/>
  <c r="G17" i="7"/>
  <c r="K17" i="7" s="1"/>
  <c r="G19" i="7"/>
  <c r="K19" i="7" s="1"/>
  <c r="G21" i="7"/>
  <c r="K21" i="7" s="1"/>
  <c r="G23" i="7"/>
  <c r="K23" i="7" s="1"/>
  <c r="G25" i="7"/>
  <c r="K25" i="7" s="1"/>
  <c r="G27" i="7"/>
  <c r="K27" i="7" s="1"/>
  <c r="G8" i="7"/>
  <c r="G26" i="7"/>
  <c r="K26" i="7" s="1"/>
  <c r="F25" i="7"/>
  <c r="J25" i="7" s="1"/>
  <c r="G22" i="7"/>
  <c r="K22" i="7" s="1"/>
  <c r="F21" i="7"/>
  <c r="J21" i="7" s="1"/>
  <c r="G18" i="7"/>
  <c r="K18" i="7" s="1"/>
  <c r="F17" i="7"/>
  <c r="J17" i="7" s="1"/>
  <c r="G14" i="7"/>
  <c r="K14" i="7" s="1"/>
  <c r="F13" i="7"/>
  <c r="J13" i="7" s="1"/>
  <c r="G10" i="7"/>
  <c r="K10" i="7" s="1"/>
  <c r="F8" i="7"/>
  <c r="H26" i="7"/>
  <c r="L26" i="7" s="1"/>
  <c r="F26" i="7"/>
  <c r="J26" i="7" s="1"/>
  <c r="H24" i="7"/>
  <c r="L24" i="7" s="1"/>
  <c r="F24" i="7"/>
  <c r="J24" i="7" s="1"/>
  <c r="H22" i="7"/>
  <c r="L22" i="7" s="1"/>
  <c r="F22" i="7"/>
  <c r="J22" i="7" s="1"/>
  <c r="H20" i="7"/>
  <c r="L20" i="7" s="1"/>
  <c r="F20" i="7"/>
  <c r="J20" i="7" s="1"/>
  <c r="H18" i="7"/>
  <c r="L18" i="7" s="1"/>
  <c r="F18" i="7"/>
  <c r="J18" i="7" s="1"/>
  <c r="H16" i="7"/>
  <c r="L16" i="7" s="1"/>
  <c r="F16" i="7"/>
  <c r="J16" i="7" s="1"/>
  <c r="H14" i="7"/>
  <c r="L14" i="7" s="1"/>
  <c r="F14" i="7"/>
  <c r="J14" i="7" s="1"/>
  <c r="H12" i="7"/>
  <c r="L12" i="7" s="1"/>
  <c r="F12" i="7"/>
  <c r="J12" i="7" s="1"/>
  <c r="L4" i="7" l="1"/>
  <c r="D22" i="8" a="1"/>
  <c r="E22" i="8" s="1"/>
  <c r="L3" i="7"/>
  <c r="J8" i="7"/>
  <c r="K8" i="7"/>
  <c r="D23" i="8" l="1" a="1"/>
  <c r="J22" i="8"/>
  <c r="Z22" i="8"/>
  <c r="S22" i="8"/>
  <c r="R22" i="8"/>
  <c r="AA22" i="8"/>
  <c r="K22" i="8"/>
  <c r="V22" i="8"/>
  <c r="N22" i="8"/>
  <c r="F22" i="8"/>
  <c r="W22" i="8"/>
  <c r="O22" i="8"/>
  <c r="G22" i="8"/>
  <c r="X22" i="8"/>
  <c r="T22" i="8"/>
  <c r="P22" i="8"/>
  <c r="L22" i="8"/>
  <c r="H22" i="8"/>
  <c r="D22" i="8"/>
  <c r="Y22" i="8"/>
  <c r="U22" i="8"/>
  <c r="Q22" i="8"/>
  <c r="M22" i="8"/>
  <c r="I22" i="8"/>
  <c r="K3" i="7"/>
  <c r="K4" i="7"/>
  <c r="J4" i="7"/>
  <c r="J3" i="7"/>
  <c r="G4" i="8" l="1" a="1"/>
  <c r="D50" i="8" a="1"/>
  <c r="D23" i="8"/>
  <c r="F26" i="8"/>
  <c r="F28" i="8"/>
  <c r="D39" i="8"/>
  <c r="D31" i="8"/>
  <c r="E23" i="8"/>
  <c r="E28" i="8"/>
  <c r="E41" i="8"/>
  <c r="D24" i="8"/>
  <c r="E27" i="8"/>
  <c r="E38" i="8"/>
  <c r="E30" i="8"/>
  <c r="D36" i="8"/>
  <c r="D42" i="8"/>
  <c r="D26" i="8"/>
  <c r="F37" i="8"/>
  <c r="F29" i="8"/>
  <c r="F40" i="8"/>
  <c r="F24" i="8"/>
  <c r="D37" i="8"/>
  <c r="D29" i="8"/>
  <c r="E25" i="8"/>
  <c r="E39" i="8"/>
  <c r="E36" i="8"/>
  <c r="D38" i="8"/>
  <c r="F35" i="8"/>
  <c r="F27" i="8"/>
  <c r="F42" i="8"/>
  <c r="F36" i="8"/>
  <c r="D35" i="8"/>
  <c r="D27" i="8"/>
  <c r="D40" i="8"/>
  <c r="E35" i="8"/>
  <c r="E42" i="8"/>
  <c r="E34" i="8"/>
  <c r="E26" i="8"/>
  <c r="E24" i="8"/>
  <c r="D28" i="8"/>
  <c r="E29" i="8"/>
  <c r="D30" i="8"/>
  <c r="F39" i="8"/>
  <c r="F31" i="8"/>
  <c r="F23" i="8"/>
  <c r="E33" i="8"/>
  <c r="E37" i="8"/>
  <c r="D34" i="8"/>
  <c r="F41" i="8"/>
  <c r="F25" i="8"/>
  <c r="F34" i="8"/>
  <c r="F32" i="8"/>
  <c r="D41" i="8"/>
  <c r="D25" i="8"/>
  <c r="F38" i="8"/>
  <c r="D32" i="8"/>
  <c r="E31" i="8"/>
  <c r="E40" i="8"/>
  <c r="E32" i="8"/>
  <c r="F30" i="8"/>
  <c r="F33" i="8"/>
  <c r="D33" i="8"/>
  <c r="AC22" i="8" a="1"/>
  <c r="AC22" i="8" s="1"/>
  <c r="AC38" i="8" l="1" a="1"/>
  <c r="AC38" i="8" s="1"/>
  <c r="AF38" i="8" s="1"/>
  <c r="AH38" i="8" a="1"/>
  <c r="AH38" i="8" s="1"/>
  <c r="AH36" i="8" a="1"/>
  <c r="AH36" i="8" s="1"/>
  <c r="AC36" i="8" a="1"/>
  <c r="AC36" i="8" s="1"/>
  <c r="AF36" i="8" s="1"/>
  <c r="AH23" i="8" a="1"/>
  <c r="AH23" i="8" s="1"/>
  <c r="AC23" i="8" a="1"/>
  <c r="AC23" i="8" s="1"/>
  <c r="AF23" i="8" s="1"/>
  <c r="E50" i="8"/>
  <c r="F50" i="8"/>
  <c r="D50" i="8"/>
  <c r="D16" i="8" s="1" a="1"/>
  <c r="AC34" i="8" a="1"/>
  <c r="AC34" i="8" s="1"/>
  <c r="AF34" i="8" s="1"/>
  <c r="AH34" i="8" a="1"/>
  <c r="AH34" i="8" s="1"/>
  <c r="AC29" i="8" a="1"/>
  <c r="AC29" i="8" s="1"/>
  <c r="AF29" i="8" s="1"/>
  <c r="AH29" i="8" a="1"/>
  <c r="AH29" i="8" s="1"/>
  <c r="AC24" i="8" a="1"/>
  <c r="AC24" i="8" s="1"/>
  <c r="AF24" i="8" s="1"/>
  <c r="AH24" i="8" a="1"/>
  <c r="AH24" i="8" s="1"/>
  <c r="AC40" i="8" a="1"/>
  <c r="AC40" i="8" s="1"/>
  <c r="AF40" i="8" s="1"/>
  <c r="AH40" i="8" a="1"/>
  <c r="AH40" i="8" s="1"/>
  <c r="AH37" i="8" a="1"/>
  <c r="AH37" i="8" s="1"/>
  <c r="AC37" i="8" a="1"/>
  <c r="AC37" i="8" s="1"/>
  <c r="AF37" i="8" s="1"/>
  <c r="AC27" i="8" a="1"/>
  <c r="AC27" i="8" s="1"/>
  <c r="AF27" i="8" s="1"/>
  <c r="AH27" i="8" a="1"/>
  <c r="AH27" i="8" s="1"/>
  <c r="AC32" i="8" a="1"/>
  <c r="AC32" i="8" s="1"/>
  <c r="AF32" i="8" s="1"/>
  <c r="AH32" i="8" a="1"/>
  <c r="AH32" i="8" s="1"/>
  <c r="AC35" i="8" a="1"/>
  <c r="AC35" i="8" s="1"/>
  <c r="AF35" i="8" s="1"/>
  <c r="AH35" i="8" a="1"/>
  <c r="AH35" i="8" s="1"/>
  <c r="AC31" i="8" a="1"/>
  <c r="AC31" i="8" s="1"/>
  <c r="AF31" i="8" s="1"/>
  <c r="AH31" i="8" a="1"/>
  <c r="AH31" i="8" s="1"/>
  <c r="AC25" i="8" a="1"/>
  <c r="AC25" i="8" s="1"/>
  <c r="AF25" i="8" s="1"/>
  <c r="AH25" i="8" a="1"/>
  <c r="AH25" i="8" s="1"/>
  <c r="AH30" i="8" a="1"/>
  <c r="AH30" i="8" s="1"/>
  <c r="AC30" i="8" a="1"/>
  <c r="AC30" i="8" s="1"/>
  <c r="AF30" i="8" s="1"/>
  <c r="AC39" i="8" a="1"/>
  <c r="AC39" i="8" s="1"/>
  <c r="AF39" i="8" s="1"/>
  <c r="AH39" i="8" a="1"/>
  <c r="AH39" i="8" s="1"/>
  <c r="AC41" i="8" a="1"/>
  <c r="AC41" i="8" s="1"/>
  <c r="AF41" i="8" s="1"/>
  <c r="AH41" i="8" a="1"/>
  <c r="AH41" i="8" s="1"/>
  <c r="AC26" i="8" a="1"/>
  <c r="AC26" i="8" s="1"/>
  <c r="AF26" i="8" s="1"/>
  <c r="AH26" i="8" a="1"/>
  <c r="AH26" i="8" s="1"/>
  <c r="AC28" i="8" a="1"/>
  <c r="AC28" i="8" s="1"/>
  <c r="AF28" i="8" s="1"/>
  <c r="AH28" i="8" a="1"/>
  <c r="AH28" i="8" s="1"/>
  <c r="AC42" i="8" a="1"/>
  <c r="AC42" i="8" s="1"/>
  <c r="AF42" i="8" s="1"/>
  <c r="AH42" i="8" a="1"/>
  <c r="AH42" i="8" s="1"/>
  <c r="AH33" i="8" a="1"/>
  <c r="AH33" i="8" s="1"/>
  <c r="AC33" i="8" a="1"/>
  <c r="AC33" i="8" s="1"/>
  <c r="AF33" i="8" s="1"/>
  <c r="G4" i="8"/>
  <c r="I4" i="8"/>
  <c r="H4" i="8"/>
  <c r="AF22" i="8"/>
  <c r="M5" i="8" l="1"/>
  <c r="M6" i="8" s="1"/>
  <c r="M4" i="8"/>
  <c r="Y16" i="8"/>
  <c r="R16" i="8"/>
  <c r="K16" i="8"/>
  <c r="AA16" i="8"/>
  <c r="Z16" i="8"/>
  <c r="U16" i="8"/>
  <c r="F16" i="8"/>
  <c r="O16" i="8"/>
  <c r="G16" i="8"/>
  <c r="D16" i="8"/>
  <c r="AC12" i="8" s="1" a="1"/>
  <c r="AC12" i="8" s="1"/>
  <c r="E16" i="8"/>
  <c r="X16" i="8"/>
  <c r="I16" i="8"/>
  <c r="W16" i="8"/>
  <c r="L16" i="8"/>
  <c r="V16" i="8"/>
  <c r="T16" i="8"/>
  <c r="N16" i="8"/>
  <c r="M16" i="8"/>
  <c r="J16" i="8"/>
  <c r="Q16" i="8"/>
  <c r="S16" i="8"/>
  <c r="H16" i="8"/>
  <c r="P16" i="8"/>
  <c r="L4" i="8" l="1"/>
  <c r="L6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tc={AB0133B7-424F-1842-8CFF-76739D618D49}</author>
  </authors>
  <commentList>
    <comment ref="B4" authorId="0" shapeId="0" xr:uid="{AB0133B7-424F-1842-8CFF-76739D618D49}">
      <text>
        <t>[Threaded comment]
Your version of Excel allows you to read this threaded comment; however, any edits to it will get removed if the file is opened in a newer version of Excel. Learn more: https://go.microsoft.com/fwlink/?linkid=870924
Comment:
    Enter 1-4</t>
      </text>
    </comment>
  </commentList>
</comments>
</file>

<file path=xl/sharedStrings.xml><?xml version="1.0" encoding="utf-8"?>
<sst xmlns="http://schemas.openxmlformats.org/spreadsheetml/2006/main" count="196" uniqueCount="102">
  <si>
    <t>CASH</t>
  </si>
  <si>
    <t>BONDS</t>
  </si>
  <si>
    <t>STOCKS</t>
  </si>
  <si>
    <t>Actual Returns</t>
  </si>
  <si>
    <t>Z-Scores</t>
  </si>
  <si>
    <t>Adjusted Returns</t>
  </si>
  <si>
    <t>Adjusted Return Stats</t>
  </si>
  <si>
    <t>Desired Stats</t>
  </si>
  <si>
    <t>Actual Return Stats</t>
  </si>
  <si>
    <t>Mean</t>
  </si>
  <si>
    <t>StDev</t>
  </si>
  <si>
    <t>confidence</t>
  </si>
  <si>
    <t>opttype</t>
  </si>
  <si>
    <t>minrisk</t>
  </si>
  <si>
    <t>target</t>
  </si>
  <si>
    <t>numobs</t>
  </si>
  <si>
    <t>VaR</t>
  </si>
  <si>
    <t>aux 1</t>
  </si>
  <si>
    <t>aux 2</t>
  </si>
  <si>
    <t>aux 3</t>
  </si>
  <si>
    <t>aux 4</t>
  </si>
  <si>
    <t>aux 5</t>
  </si>
  <si>
    <t>aux 6</t>
  </si>
  <si>
    <t>aux 7</t>
  </si>
  <si>
    <t>aux 8</t>
  </si>
  <si>
    <t>aux 9</t>
  </si>
  <si>
    <t>aux 10</t>
  </si>
  <si>
    <t>aux 11</t>
  </si>
  <si>
    <t>aux 12</t>
  </si>
  <si>
    <t>aux 13</t>
  </si>
  <si>
    <t>aux 14</t>
  </si>
  <si>
    <t>aux 15</t>
  </si>
  <si>
    <t>aux 16</t>
  </si>
  <si>
    <t>aux 17</t>
  </si>
  <si>
    <t>aux 18</t>
  </si>
  <si>
    <t>aux 19</t>
  </si>
  <si>
    <t>aux 20</t>
  </si>
  <si>
    <t>exprets</t>
  </si>
  <si>
    <t>lb</t>
  </si>
  <si>
    <t>ub</t>
  </si>
  <si>
    <t>port wt</t>
  </si>
  <si>
    <t>ret / cvar</t>
  </si>
  <si>
    <t>scen 1</t>
  </si>
  <si>
    <t>scen 2</t>
  </si>
  <si>
    <t>scen 3</t>
  </si>
  <si>
    <t>scen 4</t>
  </si>
  <si>
    <t>scen 5</t>
  </si>
  <si>
    <t>scen 6</t>
  </si>
  <si>
    <t>scen 7</t>
  </si>
  <si>
    <t>scen 8</t>
  </si>
  <si>
    <t>scen 9</t>
  </si>
  <si>
    <t>scen 10</t>
  </si>
  <si>
    <t>scen 11</t>
  </si>
  <si>
    <t>scen 12</t>
  </si>
  <si>
    <t>scen 13</t>
  </si>
  <si>
    <t>scen 14</t>
  </si>
  <si>
    <t>scen 15</t>
  </si>
  <si>
    <t>scen 16</t>
  </si>
  <si>
    <t>scen 17</t>
  </si>
  <si>
    <t>scen 18</t>
  </si>
  <si>
    <t>scen 19</t>
  </si>
  <si>
    <t>scen 20</t>
  </si>
  <si>
    <t>lb CASH</t>
  </si>
  <si>
    <t>lb BONDS</t>
  </si>
  <si>
    <t>lb STOCKS</t>
  </si>
  <si>
    <t>ub CASH</t>
  </si>
  <si>
    <t>ub BONDS</t>
  </si>
  <si>
    <t>ub STOCKS</t>
  </si>
  <si>
    <t>value</t>
  </si>
  <si>
    <t>type</t>
  </si>
  <si>
    <t>=</t>
  </si>
  <si>
    <t>&gt;=</t>
  </si>
  <si>
    <t>constraint</t>
  </si>
  <si>
    <t>cvarcoef</t>
  </si>
  <si>
    <t>variables &gt;</t>
  </si>
  <si>
    <t>constraints v</t>
  </si>
  <si>
    <t>expretrow</t>
  </si>
  <si>
    <t>cvarrow</t>
  </si>
  <si>
    <t>tgtrisk</t>
  </si>
  <si>
    <t>tgtret</t>
  </si>
  <si>
    <t>maxret</t>
  </si>
  <si>
    <t>tol</t>
  </si>
  <si>
    <t>check</t>
  </si>
  <si>
    <t>model</t>
  </si>
  <si>
    <t>portwts</t>
  </si>
  <si>
    <t>Parameters</t>
  </si>
  <si>
    <t>Optimization Params</t>
  </si>
  <si>
    <t>Asset Params</t>
  </si>
  <si>
    <t>scenario</t>
  </si>
  <si>
    <t>Portfolio Results</t>
  </si>
  <si>
    <t>mean</t>
  </si>
  <si>
    <t>Constraint Matrix</t>
  </si>
  <si>
    <t>scen</t>
  </si>
  <si>
    <t>port</t>
  </si>
  <si>
    <t>results</t>
  </si>
  <si>
    <t>Objective Function - minimize</t>
  </si>
  <si>
    <t>Optimization Solution / Weights</t>
  </si>
  <si>
    <t>objfun</t>
  </si>
  <si>
    <t>row</t>
  </si>
  <si>
    <t>seedwts</t>
  </si>
  <si>
    <t>random</t>
  </si>
  <si>
    <t>wtd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</si>
</sst>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164" formatCode="0.00%;[Red]\-0.00%;&quot;-&quot;"/>
    <numFmt numFmtId="165" formatCode="0.0%;[Red]\-0.0%;&quot;-&quot;"/>
    <numFmt numFmtId="166" formatCode="0%;[Red]\-0%;&quot;-&quot;"/>
    <numFmt numFmtId="167" formatCode="#,##0.0000;[Red]\-#,##0.0000;&quot;-&quot;"/>
    <numFmt numFmtId="168" formatCode="#,##0.00;[Red]\-#,##0.00;&quot;-&quot;"/>
    <numFmt numFmtId="169" formatCode="#,##0;[Red]\-#,##0;&quot;-&quot;"/>
    <numFmt numFmtId="170" formatCode="yyyy\-mm\-dd"/>
    <numFmt numFmtId="171" formatCode="yyyy\-mm"/>
    <numFmt numFmtId="172" formatCode="yyyy"/>
    <numFmt numFmtId="173" formatCode="&quot;$&quot;#,##0.00;[Red]\-&quot;$&quot;#,##0.00;&quot;-&quot;"/>
    <numFmt numFmtId="174" formatCode="&quot;$&quot;#,##0;[Red]\-&quot;$&quot;#,##0;&quot;-&quot;"/>
    <numFmt numFmtId="175" formatCode="yyyymmdd"/>
    <numFmt numFmtId="176" formatCode="0.0000"/>
    <numFmt numFmtId="177" formatCode="0.000000"/>
    <numFmt numFmtId="178" formatCode="#,##0.000;[Red]\-#,##0.000;&quot;-&quot;"/>
    <numFmt numFmtId="179" formatCode="0.000"/>
  </numFmts>
  <fonts count="33">
    <font>
      <sz val="11"/>
      <color theme="1"/>
      <name val="Source Sans CAIM"/>
      <family val="2"/>
      <scheme val="minor"/>
    </font>
    <font>
      <sz val="11"/>
      <color theme="1"/>
      <name val="Source Sans CAIM"/>
      <family val="2"/>
      <scheme val="minor"/>
    </font>
    <font>
      <sz val="11"/>
      <color theme="1"/>
      <name val="Source Sans CAIM"/>
      <family val="2"/>
      <scheme val="minor"/>
    </font>
    <font>
      <b/>
      <sz val="18"/>
      <color theme="3"/>
      <name val="Open Sans"/>
      <family val="2"/>
      <scheme val="major"/>
    </font>
    <font>
      <b/>
      <sz val="15"/>
      <color theme="3"/>
      <name val="Source Sans CAIM"/>
      <family val="2"/>
      <scheme val="minor"/>
    </font>
    <font>
      <b/>
      <sz val="13"/>
      <color theme="3"/>
      <name val="Source Sans CAIM"/>
      <family val="2"/>
      <scheme val="minor"/>
    </font>
    <font>
      <b/>
      <sz val="11"/>
      <color theme="3"/>
      <name val="Source Sans CAIM"/>
      <family val="2"/>
      <scheme val="minor"/>
    </font>
    <font>
      <sz val="11"/>
      <color rgb="FF3F3F76"/>
      <name val="Source Sans CAIM"/>
      <family val="2"/>
      <scheme val="minor"/>
    </font>
    <font>
      <b/>
      <sz val="11"/>
      <color rgb="FF3F3F3F"/>
      <name val="Source Sans CAIM"/>
      <family val="2"/>
      <scheme val="minor"/>
    </font>
    <font>
      <b/>
      <sz val="11"/>
      <color rgb="FFFA7D00"/>
      <name val="Source Sans CAIM"/>
      <family val="2"/>
      <scheme val="minor"/>
    </font>
    <font>
      <sz val="11"/>
      <color rgb="FFFA7D00"/>
      <name val="Source Sans CAIM"/>
      <family val="2"/>
      <scheme val="minor"/>
    </font>
    <font>
      <b/>
      <sz val="11"/>
      <color theme="0"/>
      <name val="Source Sans CAIM"/>
      <family val="2"/>
      <scheme val="minor"/>
    </font>
    <font>
      <sz val="11"/>
      <color rgb="FFFF0000"/>
      <name val="Source Sans CAIM"/>
      <family val="2"/>
      <scheme val="minor"/>
    </font>
    <font>
      <i/>
      <sz val="11"/>
      <color rgb="FF7F7F7F"/>
      <name val="Source Sans CAIM"/>
      <family val="2"/>
      <scheme val="minor"/>
    </font>
    <font>
      <b/>
      <sz val="11"/>
      <color theme="1"/>
      <name val="Source Sans CAIM"/>
      <family val="2"/>
      <scheme val="minor"/>
    </font>
    <font>
      <sz val="11"/>
      <color theme="0"/>
      <name val="Source Sans CAIM"/>
      <family val="2"/>
      <scheme val="minor"/>
    </font>
    <font>
      <sz val="11"/>
      <color theme="1"/>
      <name val="AmplitudeTF"/>
      <family val="3"/>
    </font>
    <font>
      <b/>
      <sz val="11"/>
      <color rgb="FFFFFFFF"/>
      <name val="Source Sans CAIM"/>
      <family val="2"/>
      <scheme val="minor"/>
    </font>
    <font>
      <sz val="11"/>
      <color rgb="FFFFFFFF"/>
      <name val="Source Sans CAIM"/>
      <family val="2"/>
      <scheme val="minor"/>
    </font>
    <font>
      <sz val="11"/>
      <color theme="3"/>
      <name val="Source Sans CAIM"/>
      <family val="2"/>
      <scheme val="minor"/>
    </font>
    <font>
      <sz val="11"/>
      <color theme="0" tint="-0.24994659260841701"/>
      <name val="Source Sans CAIM"/>
      <family val="2"/>
      <scheme val="minor"/>
    </font>
    <font>
      <b/>
      <sz val="11"/>
      <name val="Source Sans CAIM"/>
      <family val="2"/>
      <scheme val="minor"/>
    </font>
    <font>
      <sz val="11"/>
      <name val="Source Sans CAIM"/>
      <family val="2"/>
      <scheme val="minor"/>
    </font>
    <font>
      <sz val="11"/>
      <color rgb="FF9C0006"/>
      <name val="Source Sans CAIM"/>
      <family val="2"/>
      <scheme val="minor"/>
    </font>
    <font>
      <sz val="11"/>
      <color rgb="FF008E40"/>
      <name val="Source Sans CAIM"/>
      <family val="2"/>
      <scheme val="minor"/>
    </font>
    <font>
      <sz val="11"/>
      <color rgb="FFC3B12F"/>
      <name val="Source Sans CAIM"/>
      <family val="2"/>
      <scheme val="minor"/>
    </font>
    <font>
      <sz val="11"/>
      <color rgb="FF000000"/>
      <name val="Arial"/>
      <family val="2"/>
    </font>
    <font>
      <b/>
      <sz val="11"/>
      <color rgb="FFFFFFFF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rgb="FFFFFFFF"/>
      <name val="Calibri"/>
      <family val="2"/>
    </font>
    <font>
      <sz val="11"/>
      <color theme="0" tint="-0.24994659260841701"/>
      <name val="Calibri"/>
      <family val="2"/>
    </font>
    <font>
      <sz val="10"/>
      <color rgb="FF000000"/>
      <name val="Tahoma"/>
      <family val="2"/>
    </font>
  </fonts>
  <fills count="5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  <bgColor rgb="FF000000"/>
      </patternFill>
    </fill>
    <fill>
      <patternFill patternType="solid">
        <fgColor theme="3"/>
        <bgColor rgb="FF000000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5"/>
        <bgColor rgb="FF000000"/>
      </patternFill>
    </fill>
    <fill>
      <patternFill patternType="solid">
        <fgColor theme="6"/>
        <bgColor rgb="FF000000"/>
      </patternFill>
    </fill>
    <fill>
      <patternFill patternType="solid">
        <fgColor theme="7"/>
        <bgColor rgb="FF000000"/>
      </patternFill>
    </fill>
    <fill>
      <patternFill patternType="solid">
        <fgColor theme="8"/>
        <bgColor rgb="FF000000"/>
      </patternFill>
    </fill>
    <fill>
      <patternFill patternType="solid">
        <fgColor theme="9"/>
        <bgColor rgb="FF000000"/>
      </patternFill>
    </fill>
    <fill>
      <patternFill patternType="solid">
        <fgColor theme="2"/>
        <bgColor rgb="FF000000"/>
      </patternFill>
    </fill>
    <fill>
      <patternFill patternType="solid">
        <fgColor rgb="FFD2ECD6"/>
        <bgColor rgb="FF000000"/>
      </patternFill>
    </fill>
    <fill>
      <patternFill patternType="solid">
        <fgColor rgb="FFECD2D2"/>
        <bgColor rgb="FF000000"/>
      </patternFill>
    </fill>
    <fill>
      <patternFill patternType="solid">
        <fgColor rgb="FFECECD2"/>
        <bgColor rgb="FF000000"/>
      </patternFill>
    </fill>
    <fill>
      <patternFill patternType="solid">
        <fgColor rgb="FFD2E0EC"/>
        <bgColor indexed="64"/>
      </patternFill>
    </fill>
    <fill>
      <patternFill patternType="solid">
        <fgColor theme="1" tint="0.89999084444715716"/>
        <bgColor rgb="FF000000"/>
      </patternFill>
    </fill>
    <fill>
      <patternFill patternType="solid">
        <fgColor theme="3" tint="0.79998168889431442"/>
        <bgColor rgb="FF000000"/>
      </patternFill>
    </fill>
    <fill>
      <patternFill patternType="solid">
        <fgColor theme="1" tint="0.74999237037263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0.79998168889431442"/>
        <bgColor rgb="FF000000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94">
    <xf numFmtId="0" fontId="0" fillId="0" borderId="0" applyNumberFormat="0" applyFill="0" applyBorder="0" applyAlignment="0" applyProtection="0">
      <alignment horizontal="center"/>
    </xf>
    <xf numFmtId="0" fontId="3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24" fillId="2" borderId="0" applyNumberFormat="0" applyFill="0" applyBorder="0" applyAlignment="0" applyProtection="0">
      <alignment horizontal="center"/>
    </xf>
    <xf numFmtId="0" fontId="23" fillId="3" borderId="0" applyNumberFormat="0" applyFill="0" applyBorder="0" applyAlignment="0" applyProtection="0">
      <alignment horizontal="center"/>
    </xf>
    <xf numFmtId="0" fontId="25" fillId="4" borderId="0" applyNumberFormat="0" applyFill="0" applyBorder="0" applyAlignment="0" applyProtection="0">
      <alignment horizontal="center"/>
    </xf>
    <xf numFmtId="0" fontId="7" fillId="5" borderId="4" applyNumberFormat="0" applyAlignment="0" applyProtection="0"/>
    <xf numFmtId="0" fontId="8" fillId="6" borderId="5" applyNumberFormat="0" applyAlignment="0" applyProtection="0"/>
    <xf numFmtId="0" fontId="9" fillId="6" borderId="4" applyNumberFormat="0" applyAlignment="0" applyProtection="0"/>
    <xf numFmtId="0" fontId="10" fillId="0" borderId="6" applyNumberFormat="0" applyFill="0" applyAlignment="0" applyProtection="0"/>
    <xf numFmtId="0" fontId="11" fillId="7" borderId="7" applyNumberFormat="0" applyAlignment="0" applyProtection="0"/>
    <xf numFmtId="0" fontId="12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3" fillId="0" borderId="0" applyNumberFormat="0" applyFill="0" applyBorder="0" applyAlignment="0" applyProtection="0"/>
    <xf numFmtId="0" fontId="14" fillId="0" borderId="9" applyNumberFormat="0" applyFill="0" applyAlignment="0" applyProtection="0"/>
    <xf numFmtId="0" fontId="15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15" fillId="12" borderId="0" applyNumberFormat="0" applyBorder="0" applyAlignment="0" applyProtection="0"/>
    <xf numFmtId="0" fontId="15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15" fillId="16" borderId="0" applyNumberFormat="0" applyBorder="0" applyAlignment="0" applyProtection="0"/>
    <xf numFmtId="0" fontId="15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15" fillId="20" borderId="0" applyNumberFormat="0" applyBorder="0" applyAlignment="0" applyProtection="0"/>
    <xf numFmtId="0" fontId="15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5" fillId="24" borderId="0" applyNumberFormat="0" applyBorder="0" applyAlignment="0" applyProtection="0"/>
    <xf numFmtId="0" fontId="15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5" fillId="28" borderId="0" applyNumberFormat="0" applyBorder="0" applyAlignment="0" applyProtection="0"/>
    <xf numFmtId="0" fontId="15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5" fillId="32" borderId="0" applyNumberFormat="0" applyBorder="0" applyAlignment="0" applyProtection="0"/>
    <xf numFmtId="0" fontId="19" fillId="0" borderId="0" applyNumberFormat="0" applyFill="0" applyBorder="0" applyAlignment="0" applyProtection="0">
      <alignment horizontal="center"/>
    </xf>
    <xf numFmtId="166" fontId="1" fillId="0" borderId="0" applyFont="0" applyFill="0" applyBorder="0" applyAlignment="0" applyProtection="0">
      <alignment horizontal="center"/>
    </xf>
    <xf numFmtId="0" fontId="20" fillId="0" borderId="0" applyNumberFormat="0" applyFill="0" applyBorder="0" applyAlignment="0" applyProtection="0">
      <alignment horizontal="center"/>
    </xf>
    <xf numFmtId="169" fontId="1" fillId="0" borderId="0" applyFont="0" applyFill="0" applyBorder="0" applyAlignment="0" applyProtection="0">
      <alignment horizontal="center"/>
    </xf>
    <xf numFmtId="0" fontId="21" fillId="0" borderId="0" applyNumberFormat="0" applyFill="0" applyBorder="0" applyAlignment="0" applyProtection="0">
      <alignment horizontal="center"/>
    </xf>
    <xf numFmtId="165" fontId="1" fillId="0" borderId="0" applyFont="0" applyFill="0" applyBorder="0" applyAlignment="0" applyProtection="0">
      <alignment horizontal="center"/>
    </xf>
    <xf numFmtId="0" fontId="14" fillId="0" borderId="0" applyNumberFormat="0" applyFill="0" applyBorder="0" applyAlignment="0" applyProtection="0">
      <alignment horizontal="center"/>
    </xf>
    <xf numFmtId="164" fontId="1" fillId="0" borderId="0" applyFont="0" applyFill="0" applyBorder="0" applyAlignment="0" applyProtection="0">
      <alignment horizontal="center"/>
    </xf>
    <xf numFmtId="168" fontId="1" fillId="0" borderId="0" applyFont="0" applyFill="0" applyBorder="0" applyAlignment="0" applyProtection="0">
      <alignment horizontal="center"/>
    </xf>
    <xf numFmtId="167" fontId="1" fillId="0" borderId="0" applyFont="0" applyFill="0" applyBorder="0" applyAlignment="0" applyProtection="0">
      <alignment horizontal="center"/>
    </xf>
    <xf numFmtId="0" fontId="17" fillId="33" borderId="0" applyNumberFormat="0">
      <alignment horizontal="left"/>
    </xf>
    <xf numFmtId="0" fontId="18" fillId="33" borderId="0" applyNumberFormat="0">
      <alignment horizontal="center"/>
    </xf>
    <xf numFmtId="0" fontId="18" fillId="36" borderId="0" applyNumberFormat="0">
      <alignment horizontal="center"/>
    </xf>
    <xf numFmtId="0" fontId="1" fillId="35" borderId="0" applyNumberFormat="0" applyProtection="0">
      <alignment horizontal="center"/>
    </xf>
    <xf numFmtId="0" fontId="17" fillId="36" borderId="0" applyNumberFormat="0">
      <alignment horizontal="left"/>
    </xf>
    <xf numFmtId="0" fontId="17" fillId="37" borderId="0" applyNumberFormat="0">
      <alignment horizontal="left"/>
    </xf>
    <xf numFmtId="0" fontId="18" fillId="37" borderId="0" applyNumberFormat="0">
      <alignment horizontal="center"/>
    </xf>
    <xf numFmtId="0" fontId="16" fillId="0" borderId="0">
      <alignment horizontal="center"/>
    </xf>
    <xf numFmtId="0" fontId="17" fillId="38" borderId="0" applyNumberFormat="0">
      <alignment horizontal="left"/>
    </xf>
    <xf numFmtId="0" fontId="17" fillId="39" borderId="0" applyNumberFormat="0">
      <alignment horizontal="left"/>
    </xf>
    <xf numFmtId="0" fontId="17" fillId="40" borderId="0" applyNumberFormat="0">
      <alignment horizontal="left"/>
    </xf>
    <xf numFmtId="0" fontId="17" fillId="41" borderId="0" applyNumberFormat="0">
      <alignment horizontal="left"/>
    </xf>
    <xf numFmtId="0" fontId="18" fillId="38" borderId="0" applyNumberFormat="0">
      <alignment horizontal="center"/>
    </xf>
    <xf numFmtId="0" fontId="18" fillId="39" borderId="0" applyNumberFormat="0">
      <alignment horizontal="center"/>
    </xf>
    <xf numFmtId="0" fontId="18" fillId="40" borderId="0" applyNumberFormat="0">
      <alignment horizontal="center"/>
    </xf>
    <xf numFmtId="0" fontId="18" fillId="41" borderId="0" applyNumberFormat="0">
      <alignment horizontal="center"/>
    </xf>
    <xf numFmtId="0" fontId="14" fillId="35" borderId="0" applyNumberFormat="0" applyProtection="0">
      <alignment horizontal="center"/>
    </xf>
    <xf numFmtId="170" fontId="22" fillId="0" borderId="0" applyFont="0" applyFill="0" applyBorder="0" applyAlignment="0" applyProtection="0">
      <alignment horizontal="center"/>
    </xf>
    <xf numFmtId="171" fontId="22" fillId="0" borderId="0" applyFont="0" applyFill="0" applyBorder="0" applyAlignment="0" applyProtection="0">
      <alignment horizontal="center"/>
    </xf>
    <xf numFmtId="172" fontId="22" fillId="0" borderId="0" applyFont="0" applyFill="0" applyBorder="0" applyAlignment="0" applyProtection="0">
      <alignment horizontal="center"/>
    </xf>
    <xf numFmtId="40" fontId="16" fillId="0" borderId="0" applyFill="0" applyBorder="0" applyAlignment="0" applyProtection="0"/>
    <xf numFmtId="41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8" fillId="34" borderId="0" applyNumberFormat="0">
      <alignment horizontal="center"/>
    </xf>
    <xf numFmtId="0" fontId="17" fillId="34" borderId="0" applyNumberFormat="0">
      <alignment horizontal="left"/>
    </xf>
    <xf numFmtId="0" fontId="1" fillId="45" borderId="0" applyNumberFormat="0" applyProtection="0">
      <alignment horizontal="center"/>
    </xf>
    <xf numFmtId="167" fontId="1" fillId="42" borderId="0" applyNumberFormat="0" applyProtection="0">
      <alignment horizontal="center"/>
    </xf>
    <xf numFmtId="167" fontId="1" fillId="44" borderId="0" applyNumberFormat="0" applyProtection="0">
      <alignment horizontal="center"/>
    </xf>
    <xf numFmtId="167" fontId="1" fillId="43" borderId="0" applyNumberFormat="0" applyProtection="0">
      <alignment horizontal="center"/>
    </xf>
    <xf numFmtId="164" fontId="1" fillId="0" borderId="0" applyFont="0" applyFill="0" applyBorder="0" applyAlignment="0" applyProtection="0">
      <alignment horizontal="center"/>
    </xf>
    <xf numFmtId="173" fontId="16" fillId="35" borderId="0">
      <alignment horizontal="center"/>
    </xf>
    <xf numFmtId="173" fontId="1" fillId="0" borderId="0" applyFont="0" applyFill="0" applyBorder="0" applyAlignment="0" applyProtection="0">
      <alignment horizontal="center"/>
    </xf>
    <xf numFmtId="169" fontId="1" fillId="0" borderId="0" applyFont="0" applyFill="0" applyBorder="0" applyAlignment="0" applyProtection="0">
      <alignment horizontal="center"/>
    </xf>
    <xf numFmtId="173" fontId="1" fillId="0" borderId="0" applyFont="0" applyFill="0" applyBorder="0" applyAlignment="0" applyProtection="0">
      <alignment horizontal="center"/>
    </xf>
    <xf numFmtId="174" fontId="1" fillId="0" borderId="0" applyFont="0" applyFill="0" applyBorder="0" applyAlignment="0" applyProtection="0">
      <alignment horizontal="center"/>
    </xf>
    <xf numFmtId="175" fontId="1" fillId="0" borderId="0" applyFont="0" applyFill="0" applyBorder="0" applyAlignment="0" applyProtection="0">
      <alignment horizontal="center"/>
    </xf>
    <xf numFmtId="176" fontId="1" fillId="0" borderId="0" applyFont="0" applyFill="0" applyBorder="0" applyAlignment="0" applyProtection="0">
      <alignment horizontal="center"/>
    </xf>
    <xf numFmtId="177" fontId="1" fillId="0" borderId="0" applyFont="0" applyFill="0" applyBorder="0" applyAlignment="0" applyProtection="0">
      <alignment horizontal="center"/>
    </xf>
    <xf numFmtId="2" fontId="1" fillId="0" borderId="0" applyFont="0" applyFill="0" applyBorder="0" applyAlignment="0" applyProtection="0">
      <alignment horizontal="center"/>
    </xf>
    <xf numFmtId="170" fontId="22" fillId="0" borderId="0" applyNumberFormat="0" applyFont="0" applyBorder="0" applyAlignment="0" applyProtection="0">
      <alignment horizontal="center"/>
    </xf>
  </cellStyleXfs>
  <cellXfs count="47">
    <xf numFmtId="0" fontId="0" fillId="0" borderId="0" xfId="0">
      <alignment horizontal="center"/>
    </xf>
    <xf numFmtId="0" fontId="20" fillId="0" borderId="0" xfId="93" applyNumberFormat="1" applyFont="1" applyAlignment="1">
      <alignment horizontal="left"/>
    </xf>
    <xf numFmtId="0" fontId="20" fillId="0" borderId="0" xfId="93" applyNumberFormat="1" applyFont="1">
      <alignment horizontal="center"/>
    </xf>
    <xf numFmtId="164" fontId="20" fillId="0" borderId="0" xfId="93" applyNumberFormat="1" applyFont="1">
      <alignment horizontal="center"/>
    </xf>
    <xf numFmtId="179" fontId="20" fillId="0" borderId="0" xfId="93" applyNumberFormat="1" applyFont="1">
      <alignment horizontal="center"/>
    </xf>
    <xf numFmtId="168" fontId="20" fillId="0" borderId="0" xfId="93" applyNumberFormat="1" applyFont="1">
      <alignment horizontal="center"/>
    </xf>
    <xf numFmtId="164" fontId="20" fillId="0" borderId="0" xfId="93" applyNumberFormat="1" applyFont="1" applyAlignment="1">
      <alignment horizontal="left"/>
    </xf>
    <xf numFmtId="167" fontId="20" fillId="0" borderId="0" xfId="93" applyNumberFormat="1" applyFont="1">
      <alignment horizontal="center"/>
    </xf>
    <xf numFmtId="0" fontId="20" fillId="0" borderId="0" xfId="93" applyNumberFormat="1" applyFont="1">
      <alignment horizontal="center"/>
    </xf>
    <xf numFmtId="0" fontId="27" fillId="33" borderId="0" xfId="52" applyFont="1">
      <alignment horizontal="left"/>
    </xf>
    <xf numFmtId="0" fontId="28" fillId="0" borderId="0" xfId="0" applyFont="1">
      <alignment horizontal="center"/>
    </xf>
    <xf numFmtId="0" fontId="28" fillId="0" borderId="0" xfId="93" applyNumberFormat="1" applyFont="1">
      <alignment horizontal="center"/>
    </xf>
    <xf numFmtId="0" fontId="30" fillId="37" borderId="0" xfId="58" applyFont="1">
      <alignment horizontal="center"/>
    </xf>
    <xf numFmtId="0" fontId="27" fillId="39" borderId="0" xfId="61" applyFont="1">
      <alignment horizontal="left"/>
    </xf>
    <xf numFmtId="0" fontId="30" fillId="39" borderId="0" xfId="65" applyFont="1">
      <alignment horizontal="center"/>
    </xf>
    <xf numFmtId="0" fontId="31" fillId="0" borderId="0" xfId="44" applyFont="1">
      <alignment horizontal="center"/>
    </xf>
    <xf numFmtId="0" fontId="31" fillId="0" borderId="0" xfId="44" applyNumberFormat="1" applyFont="1">
      <alignment horizontal="center"/>
    </xf>
    <xf numFmtId="0" fontId="29" fillId="0" borderId="0" xfId="42" applyNumberFormat="1" applyFont="1">
      <alignment horizontal="center"/>
    </xf>
    <xf numFmtId="164" fontId="31" fillId="0" borderId="0" xfId="44" applyNumberFormat="1" applyFont="1">
      <alignment horizontal="center"/>
    </xf>
    <xf numFmtId="169" fontId="31" fillId="0" borderId="0" xfId="44" applyNumberFormat="1" applyFont="1">
      <alignment horizontal="center"/>
    </xf>
    <xf numFmtId="178" fontId="31" fillId="0" borderId="0" xfId="44" applyNumberFormat="1" applyFont="1">
      <alignment horizontal="center"/>
    </xf>
    <xf numFmtId="0" fontId="29" fillId="46" borderId="0" xfId="68" applyFont="1" applyFill="1">
      <alignment horizontal="center"/>
    </xf>
    <xf numFmtId="164" fontId="28" fillId="46" borderId="0" xfId="55" applyNumberFormat="1" applyFont="1" applyFill="1">
      <alignment horizontal="center"/>
    </xf>
    <xf numFmtId="169" fontId="28" fillId="46" borderId="0" xfId="81" applyNumberFormat="1" applyFont="1" applyFill="1">
      <alignment horizontal="center"/>
    </xf>
    <xf numFmtId="164" fontId="28" fillId="46" borderId="0" xfId="49" applyFont="1" applyFill="1">
      <alignment horizontal="center"/>
    </xf>
    <xf numFmtId="169" fontId="28" fillId="46" borderId="0" xfId="45" applyFont="1" applyFill="1">
      <alignment horizontal="center"/>
    </xf>
    <xf numFmtId="178" fontId="28" fillId="46" borderId="0" xfId="50" applyNumberFormat="1" applyFont="1" applyFill="1">
      <alignment horizontal="center"/>
    </xf>
    <xf numFmtId="164" fontId="28" fillId="46" borderId="0" xfId="81" applyNumberFormat="1" applyFont="1" applyFill="1">
      <alignment horizontal="center"/>
    </xf>
    <xf numFmtId="166" fontId="29" fillId="46" borderId="0" xfId="68" applyNumberFormat="1" applyFont="1" applyFill="1">
      <alignment horizontal="center"/>
    </xf>
    <xf numFmtId="0" fontId="28" fillId="46" borderId="0" xfId="55" applyFont="1" applyFill="1">
      <alignment horizontal="center"/>
    </xf>
    <xf numFmtId="164" fontId="28" fillId="47" borderId="0" xfId="80" applyNumberFormat="1" applyFont="1" applyFill="1">
      <alignment horizontal="center"/>
    </xf>
    <xf numFmtId="0" fontId="29" fillId="48" borderId="0" xfId="68" applyFont="1" applyFill="1">
      <alignment horizontal="center"/>
    </xf>
    <xf numFmtId="0" fontId="28" fillId="48" borderId="0" xfId="55" quotePrefix="1" applyFont="1" applyFill="1">
      <alignment horizontal="center"/>
    </xf>
    <xf numFmtId="0" fontId="28" fillId="48" borderId="0" xfId="55" applyFont="1" applyFill="1">
      <alignment horizontal="center"/>
    </xf>
    <xf numFmtId="9" fontId="28" fillId="49" borderId="0" xfId="79" applyNumberFormat="1" applyFont="1" applyFill="1">
      <alignment horizontal="center"/>
    </xf>
    <xf numFmtId="0" fontId="28" fillId="49" borderId="0" xfId="79" applyFont="1" applyFill="1">
      <alignment horizontal="center"/>
    </xf>
    <xf numFmtId="166" fontId="28" fillId="49" borderId="0" xfId="79" applyNumberFormat="1" applyFont="1" applyFill="1">
      <alignment horizontal="center"/>
    </xf>
    <xf numFmtId="0" fontId="28" fillId="46" borderId="0" xfId="81" applyNumberFormat="1" applyFont="1" applyFill="1">
      <alignment horizontal="center"/>
    </xf>
    <xf numFmtId="164" fontId="28" fillId="50" borderId="0" xfId="49" applyFont="1" applyFill="1">
      <alignment horizontal="center"/>
    </xf>
    <xf numFmtId="0" fontId="27" fillId="39" borderId="0" xfId="57" applyFont="1" applyFill="1">
      <alignment horizontal="left"/>
    </xf>
    <xf numFmtId="0" fontId="30" fillId="39" borderId="0" xfId="58" applyFont="1" applyFill="1">
      <alignment horizontal="center"/>
    </xf>
    <xf numFmtId="0" fontId="27" fillId="37" borderId="0" xfId="56" applyFont="1" applyFill="1">
      <alignment horizontal="left"/>
    </xf>
    <xf numFmtId="0" fontId="30" fillId="37" borderId="0" xfId="54" applyFont="1" applyFill="1">
      <alignment horizontal="center"/>
    </xf>
    <xf numFmtId="0" fontId="27" fillId="38" borderId="0" xfId="78" applyFont="1" applyFill="1">
      <alignment horizontal="left"/>
    </xf>
    <xf numFmtId="0" fontId="30" fillId="38" borderId="0" xfId="77" applyFont="1" applyFill="1">
      <alignment horizontal="center"/>
    </xf>
    <xf numFmtId="0" fontId="27" fillId="36" borderId="0" xfId="78" applyFont="1" applyFill="1">
      <alignment horizontal="left"/>
    </xf>
    <xf numFmtId="0" fontId="30" fillId="36" borderId="0" xfId="77" applyFont="1" applyFill="1">
      <alignment horizontal="center"/>
    </xf>
  </cellXfs>
  <cellStyles count="94">
    <cellStyle name=".Data Bold" xfId="68" xr:uid="{00000000-0005-0000-0000-000000000000}"/>
    <cellStyle name=".Data Regular" xfId="55" xr:uid="{00000000-0005-0000-0000-000001000000}"/>
    <cellStyle name=".User Blue" xfId="79" xr:uid="{00000000-0005-0000-0000-000002000000}"/>
    <cellStyle name=".User Green" xfId="80" xr:uid="{00000000-0005-0000-0000-000003000000}"/>
    <cellStyle name=".User Red" xfId="82" xr:uid="{00000000-0005-0000-0000-000004000000}"/>
    <cellStyle name=".User Yellow" xfId="81" xr:uid="{00000000-0005-0000-0000-000005000000}"/>
    <cellStyle name="20% - Accent1" xfId="19" builtinId="30" hidden="1"/>
    <cellStyle name="20% - Accent2" xfId="23" builtinId="34" hidden="1"/>
    <cellStyle name="20% - Accent3" xfId="27" builtinId="38" hidden="1"/>
    <cellStyle name="20% - Accent4" xfId="31" builtinId="42" hidden="1"/>
    <cellStyle name="20% - Accent5" xfId="35" builtinId="46" hidden="1"/>
    <cellStyle name="20% - Accent6" xfId="39" builtinId="50" hidden="1"/>
    <cellStyle name="40% - Accent1" xfId="20" builtinId="31" hidden="1"/>
    <cellStyle name="40% - Accent2" xfId="24" builtinId="35" hidden="1"/>
    <cellStyle name="40% - Accent3" xfId="28" builtinId="39" hidden="1"/>
    <cellStyle name="40% - Accent4" xfId="32" builtinId="43" hidden="1"/>
    <cellStyle name="40% - Accent5" xfId="36" builtinId="47" hidden="1"/>
    <cellStyle name="40% - Accent6" xfId="40" builtinId="51" hidden="1"/>
    <cellStyle name="60% - Accent1" xfId="21" builtinId="32" hidden="1"/>
    <cellStyle name="60% - Accent2" xfId="25" builtinId="36" hidden="1"/>
    <cellStyle name="60% - Accent3" xfId="29" builtinId="40" hidden="1"/>
    <cellStyle name="60% - Accent4" xfId="33" builtinId="44" hidden="1"/>
    <cellStyle name="60% - Accent5" xfId="37" builtinId="48" hidden="1"/>
    <cellStyle name="60% - Accent6" xfId="41" builtinId="52" hidden="1"/>
    <cellStyle name="A   Title" xfId="52" xr:uid="{00000000-0005-0000-0000-000018000000}"/>
    <cellStyle name="A  Header" xfId="53" xr:uid="{00000000-0005-0000-0000-000019000000}"/>
    <cellStyle name="Accent1" xfId="18" builtinId="29" hidden="1"/>
    <cellStyle name="Accent2" xfId="22" builtinId="33" hidden="1"/>
    <cellStyle name="Accent3" xfId="26" builtinId="37" hidden="1"/>
    <cellStyle name="Accent4" xfId="30" builtinId="41" hidden="1"/>
    <cellStyle name="Accent5" xfId="34" builtinId="45" hidden="1"/>
    <cellStyle name="Accent6" xfId="38" builtinId="49" hidden="1"/>
    <cellStyle name="B   Title" xfId="56" xr:uid="{00000000-0005-0000-0000-000020000000}"/>
    <cellStyle name="B  Header" xfId="54" xr:uid="{00000000-0005-0000-0000-000021000000}"/>
    <cellStyle name="Bad" xfId="7" builtinId="27" customBuiltin="1"/>
    <cellStyle name="C   Title" xfId="57" xr:uid="{00000000-0005-0000-0000-000023000000}"/>
    <cellStyle name="C  Header" xfId="58" xr:uid="{00000000-0005-0000-0000-000024000000}"/>
    <cellStyle name="Calculation" xfId="11" builtinId="22" hidden="1"/>
    <cellStyle name="Check Cell" xfId="13" builtinId="23" hidden="1"/>
    <cellStyle name="Comma" xfId="72" builtinId="3" hidden="1" customBuiltin="1"/>
    <cellStyle name="Comma" xfId="86" builtinId="3" customBuiltin="1"/>
    <cellStyle name="Comma [0]" xfId="73" builtinId="6" hidden="1"/>
    <cellStyle name="Currency" xfId="74" builtinId="4" hidden="1"/>
    <cellStyle name="Currency" xfId="84" builtinId="4" hidden="1"/>
    <cellStyle name="Currency" xfId="85" builtinId="4" customBuiltin="1"/>
    <cellStyle name="Currency [0]" xfId="75" builtinId="7" hidden="1"/>
    <cellStyle name="D   Title" xfId="60" xr:uid="{00000000-0005-0000-0000-00002E000000}"/>
    <cellStyle name="D  Header" xfId="64" xr:uid="{00000000-0005-0000-0000-00002F000000}"/>
    <cellStyle name="E   Title" xfId="61" xr:uid="{00000000-0005-0000-0000-000030000000}"/>
    <cellStyle name="E  Header" xfId="65" xr:uid="{00000000-0005-0000-0000-000031000000}"/>
    <cellStyle name="Explanatory Text" xfId="16" builtinId="53" hidden="1"/>
    <cellStyle name="F   Title" xfId="62" xr:uid="{00000000-0005-0000-0000-000033000000}"/>
    <cellStyle name="F  Header" xfId="66" xr:uid="{00000000-0005-0000-0000-000034000000}"/>
    <cellStyle name="G   Title" xfId="63" xr:uid="{00000000-0005-0000-0000-000035000000}"/>
    <cellStyle name="G  Header" xfId="67" xr:uid="{00000000-0005-0000-0000-000036000000}"/>
    <cellStyle name="Good" xfId="6" builtinId="26" customBuiltin="1"/>
    <cellStyle name="H   Title" xfId="78" xr:uid="{00000000-0005-0000-0000-000038000000}"/>
    <cellStyle name="H  Header" xfId="77" xr:uid="{00000000-0005-0000-0000-000039000000}"/>
    <cellStyle name="Heading 1" xfId="2" builtinId="16" hidden="1"/>
    <cellStyle name="Heading 2" xfId="3" builtinId="17" hidden="1"/>
    <cellStyle name="Heading 3" xfId="4" builtinId="18" hidden="1"/>
    <cellStyle name="Heading 4" xfId="5" builtinId="19" hidden="1"/>
    <cellStyle name="Input" xfId="9" builtinId="20" hidden="1"/>
    <cellStyle name="Linked Cell" xfId="12" builtinId="24" hidden="1"/>
    <cellStyle name="Neutral" xfId="8" builtinId="28" customBuiltin="1"/>
    <cellStyle name="Normal" xfId="0" builtinId="0" customBuiltin="1"/>
    <cellStyle name="Note" xfId="15" builtinId="10" hidden="1"/>
    <cellStyle name="Num $" xfId="88" xr:uid="{00000000-0005-0000-0000-000043000000}"/>
    <cellStyle name="Num $.00" xfId="87" xr:uid="{00000000-0005-0000-0000-000044000000}"/>
    <cellStyle name="Num 0" xfId="45" xr:uid="{00000000-0005-0000-0000-000045000000}"/>
    <cellStyle name="Num 0.00" xfId="50" xr:uid="{00000000-0005-0000-0000-000046000000}"/>
    <cellStyle name="Num 0.0000" xfId="51" xr:uid="{00000000-0005-0000-0000-000047000000}"/>
    <cellStyle name="Output" xfId="10" builtinId="21" hidden="1"/>
    <cellStyle name="Pct 0.0%" xfId="47" xr:uid="{00000000-0005-0000-0000-00004A000000}"/>
    <cellStyle name="Pct 0.00%" xfId="49" xr:uid="{00000000-0005-0000-0000-00004B000000}"/>
    <cellStyle name="Pct 0%" xfId="43" xr:uid="{00000000-0005-0000-0000-000049000000}"/>
    <cellStyle name="Percent" xfId="76" builtinId="5" hidden="1"/>
    <cellStyle name="Percent" xfId="59" builtinId="5" hidden="1"/>
    <cellStyle name="Percent" xfId="83" builtinId="5" customBuiltin="1"/>
    <cellStyle name="R 0.00" xfId="92" xr:uid="{00000000-0005-0000-0000-00004F000000}"/>
    <cellStyle name="R 0.0000" xfId="90" xr:uid="{00000000-0005-0000-0000-000050000000}"/>
    <cellStyle name="R 0.000000" xfId="91" xr:uid="{00000000-0005-0000-0000-000051000000}"/>
    <cellStyle name="Title" xfId="1" builtinId="15" hidden="1"/>
    <cellStyle name="Total" xfId="17" builtinId="25" hidden="1"/>
    <cellStyle name="Total" xfId="48" builtinId="25" hidden="1"/>
    <cellStyle name="TxtComment" xfId="42" xr:uid="{00000000-0005-0000-0000-000055000000}"/>
    <cellStyle name="TxtIndex" xfId="44" xr:uid="{00000000-0005-0000-0000-000056000000}"/>
    <cellStyle name="TxtTotal" xfId="46" xr:uid="{00000000-0005-0000-0000-000057000000}"/>
    <cellStyle name="Warning Text" xfId="14" builtinId="11" hidden="1"/>
    <cellStyle name="White" xfId="93" xr:uid="{00000000-0005-0000-0000-000059000000}"/>
    <cellStyle name="yyyy" xfId="71" xr:uid="{00000000-0005-0000-0000-00005A000000}"/>
    <cellStyle name="yyyy-mm" xfId="70" xr:uid="{00000000-0005-0000-0000-00005B000000}"/>
    <cellStyle name="yyyy-mm-dd" xfId="69" xr:uid="{00000000-0005-0000-0000-00005D000000}"/>
    <cellStyle name="yyyymmdd" xfId="89" xr:uid="{00000000-0005-0000-0000-00005C000000}"/>
  </cellStyles>
  <dxfs count="0"/>
  <tableStyles count="0" defaultTableStyle="TableStyleMedium2" defaultPivotStyle="PivotStyleLight16"/>
  <colors>
    <mruColors>
      <color rgb="FFD2E0EC"/>
      <color rgb="FF6DCBE1"/>
      <color rgb="FFC3B12F"/>
      <color rgb="FFBEC131"/>
      <color rgb="FF008E40"/>
      <color rgb="FF009E47"/>
      <color rgb="FFECECD2"/>
      <color rgb="FFEAECD2"/>
      <color rgb="FFECD2D2"/>
      <color rgb="FFD2EC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927100</xdr:colOff>
          <xdr:row>5</xdr:row>
          <xdr:rowOff>101600</xdr:rowOff>
        </xdr:from>
        <xdr:to>
          <xdr:col>3</xdr:col>
          <xdr:colOff>571500</xdr:colOff>
          <xdr:row>6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solve 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139700</xdr:colOff>
          <xdr:row>5</xdr:row>
          <xdr:rowOff>101600</xdr:rowOff>
        </xdr:from>
        <xdr:to>
          <xdr:col>2</xdr:col>
          <xdr:colOff>812800</xdr:colOff>
          <xdr:row>6</xdr:row>
          <xdr:rowOff>114300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seed wts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JPMAM%20QW%20I%2001%20Risk%20and%20Diversification%20SOLUTIO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SCLAIMER"/>
      <sheetName val="Univariate"/>
      <sheetName val="Risk Measures"/>
      <sheetName val="Dependence"/>
      <sheetName val="Multivariate"/>
      <sheetName val="Hints"/>
      <sheetName val="Boiler Room"/>
    </sheetNames>
    <sheetDataSet>
      <sheetData sheetId="0"/>
      <sheetData sheetId="1">
        <row r="3">
          <cell r="L3">
            <v>0.95</v>
          </cell>
        </row>
        <row r="12">
          <cell r="C12" t="str">
            <v>US.CASH</v>
          </cell>
          <cell r="D12" t="str">
            <v>US.GOVT.13</v>
          </cell>
          <cell r="E12" t="str">
            <v>US.GOVT</v>
          </cell>
          <cell r="F12" t="str">
            <v>US.CORP</v>
          </cell>
          <cell r="G12" t="str">
            <v>US.HY</v>
          </cell>
          <cell r="H12" t="str">
            <v>US.EQ</v>
          </cell>
          <cell r="I12" t="str">
            <v>GL.EQ</v>
          </cell>
          <cell r="J12" t="str">
            <v>HFOF</v>
          </cell>
          <cell r="K12" t="str">
            <v>REIT</v>
          </cell>
          <cell r="L12" t="str">
            <v>PE</v>
          </cell>
        </row>
        <row r="14">
          <cell r="O14">
            <v>4.0599166666666665E-3</v>
          </cell>
          <cell r="P14">
            <v>3.8266234516892705E-3</v>
          </cell>
          <cell r="Q14">
            <v>5.1182625947192584E-3</v>
          </cell>
          <cell r="R14">
            <v>8.6237809614901906E-3</v>
          </cell>
          <cell r="S14">
            <v>1.4628945748702993E-2</v>
          </cell>
          <cell r="T14">
            <v>3.1508028596025195E-2</v>
          </cell>
          <cell r="U14">
            <v>3.6086415168527175E-2</v>
          </cell>
          <cell r="V14">
            <v>1.6250018524567089E-2</v>
          </cell>
          <cell r="W14">
            <v>6.2641069524022264E-2</v>
          </cell>
          <cell r="X14">
            <v>5.3013308026554462E-2</v>
          </cell>
        </row>
        <row r="15">
          <cell r="O15">
            <v>4.2271666666666664E-3</v>
          </cell>
          <cell r="P15">
            <v>5.0756062737051799E-3</v>
          </cell>
          <cell r="Q15">
            <v>1.0388851045047387E-2</v>
          </cell>
          <cell r="R15">
            <v>1.4163739755291171E-2</v>
          </cell>
          <cell r="S15">
            <v>1.4840491794399613E-2</v>
          </cell>
          <cell r="T15">
            <v>1.6466609576614388E-2</v>
          </cell>
          <cell r="U15">
            <v>2.2657474366272412E-2</v>
          </cell>
          <cell r="V15">
            <v>1.7829984452331971E-2</v>
          </cell>
          <cell r="W15">
            <v>4.6486337377391829E-2</v>
          </cell>
          <cell r="X15">
            <v>2.4975118898010518E-2</v>
          </cell>
        </row>
        <row r="16">
          <cell r="O16">
            <v>4.1827499999999998E-3</v>
          </cell>
          <cell r="P16">
            <v>1.8778266861452231E-4</v>
          </cell>
          <cell r="Q16">
            <v>-8.2093623797128146E-3</v>
          </cell>
          <cell r="R16">
            <v>-8.9837987108465356E-3</v>
          </cell>
          <cell r="S16">
            <v>1.1143726316912961E-2</v>
          </cell>
          <cell r="T16">
            <v>1.2615751483260995E-2</v>
          </cell>
          <cell r="U16">
            <v>1.9523492100579132E-2</v>
          </cell>
          <cell r="V16">
            <v>1.7860009511927233E-2</v>
          </cell>
          <cell r="W16">
            <v>-1.5632382014497903E-2</v>
          </cell>
          <cell r="X16">
            <v>1.5623278440635602E-2</v>
          </cell>
        </row>
        <row r="17">
          <cell r="O17">
            <v>4.1717500000000001E-3</v>
          </cell>
          <cell r="P17">
            <v>2.1500791297006661E-3</v>
          </cell>
          <cell r="Q17">
            <v>-1.5263740464930287E-3</v>
          </cell>
          <cell r="R17">
            <v>3.2647993913959006E-4</v>
          </cell>
          <cell r="S17">
            <v>1.0947017280874993E-2</v>
          </cell>
          <cell r="T17">
            <v>1.4059084819854739E-2</v>
          </cell>
          <cell r="U17">
            <v>1.1222852828967733E-2</v>
          </cell>
          <cell r="V17">
            <v>1.2942254448817581E-2</v>
          </cell>
          <cell r="W17">
            <v>8.4212987328656785E-2</v>
          </cell>
          <cell r="X17">
            <v>1.8005555709940335E-2</v>
          </cell>
        </row>
        <row r="18">
          <cell r="O18">
            <v>4.2525833333333339E-3</v>
          </cell>
          <cell r="P18">
            <v>7.9743179121554153E-3</v>
          </cell>
          <cell r="Q18">
            <v>1.649399879689506E-2</v>
          </cell>
          <cell r="R18">
            <v>2.0295841681039706E-2</v>
          </cell>
          <cell r="S18">
            <v>1.4483219514232593E-2</v>
          </cell>
          <cell r="T18">
            <v>-2.1846145288686225E-2</v>
          </cell>
          <cell r="U18">
            <v>-6.5256660645367504E-3</v>
          </cell>
          <cell r="V18">
            <v>8.1972118953617112E-3</v>
          </cell>
          <cell r="W18">
            <v>-2.2392029607787967E-2</v>
          </cell>
          <cell r="X18">
            <v>-3.9957048076285639E-3</v>
          </cell>
        </row>
        <row r="19">
          <cell r="O19">
            <v>4.2699166666666667E-3</v>
          </cell>
          <cell r="P19">
            <v>3.8411579337551682E-3</v>
          </cell>
          <cell r="Q19">
            <v>-5.6173231482581354E-4</v>
          </cell>
          <cell r="R19">
            <v>-4.8698411580789802E-3</v>
          </cell>
          <cell r="S19">
            <v>2.902638106903499E-3</v>
          </cell>
          <cell r="T19">
            <v>9.9799547916576969E-3</v>
          </cell>
          <cell r="U19">
            <v>1.5928182281742309E-2</v>
          </cell>
          <cell r="V19">
            <v>1.1549314300771663E-2</v>
          </cell>
          <cell r="W19">
            <v>-2.3868843793362071E-2</v>
          </cell>
          <cell r="X19">
            <v>1.9780647221934178E-3</v>
          </cell>
        </row>
        <row r="20">
          <cell r="O20">
            <v>4.1896666666666662E-3</v>
          </cell>
          <cell r="P20">
            <v>3.5597165197835956E-3</v>
          </cell>
          <cell r="Q20">
            <v>5.252987407492471E-3</v>
          </cell>
          <cell r="R20">
            <v>7.39631977280375E-3</v>
          </cell>
          <cell r="S20">
            <v>1.331143839482718E-2</v>
          </cell>
          <cell r="T20">
            <v>4.3290683107413797E-2</v>
          </cell>
          <cell r="U20">
            <v>4.2055766157260033E-2</v>
          </cell>
          <cell r="V20">
            <v>1.67607619123884E-2</v>
          </cell>
          <cell r="W20">
            <v>-1.9809667914305606E-4</v>
          </cell>
          <cell r="X20">
            <v>1.9186907107711537E-2</v>
          </cell>
        </row>
        <row r="21">
          <cell r="O21">
            <v>4.0334166666666661E-3</v>
          </cell>
          <cell r="P21">
            <v>-7.3693580632450129E-4</v>
          </cell>
          <cell r="Q21">
            <v>-8.695205015169849E-3</v>
          </cell>
          <cell r="R21">
            <v>-9.9013677728733152E-3</v>
          </cell>
          <cell r="S21">
            <v>6.6543775067859912E-3</v>
          </cell>
          <cell r="T21">
            <v>3.2549228600146973E-2</v>
          </cell>
          <cell r="U21">
            <v>2.4723359486900076E-2</v>
          </cell>
          <cell r="V21">
            <v>2.1465347532600321E-2</v>
          </cell>
          <cell r="W21">
            <v>5.2272041626477694E-4</v>
          </cell>
          <cell r="X21">
            <v>2.0437539918582326E-2</v>
          </cell>
        </row>
        <row r="22">
          <cell r="O22">
            <v>3.9425833333333327E-3</v>
          </cell>
          <cell r="P22">
            <v>4.1912188853108212E-3</v>
          </cell>
          <cell r="Q22">
            <v>-5.2345897920791362E-4</v>
          </cell>
          <cell r="R22">
            <v>-4.8035850460820262E-3</v>
          </cell>
          <cell r="S22">
            <v>-1.6998863053255375E-2</v>
          </cell>
          <cell r="T22">
            <v>-1.7816309730697366E-2</v>
          </cell>
          <cell r="U22">
            <v>-8.9741290270708429E-3</v>
          </cell>
          <cell r="V22">
            <v>5.2586548845623415E-3</v>
          </cell>
          <cell r="W22">
            <v>-9.0686903788091522E-2</v>
          </cell>
          <cell r="X22">
            <v>-6.9446411374837203E-3</v>
          </cell>
        </row>
        <row r="23">
          <cell r="O23">
            <v>4.0016666666666664E-3</v>
          </cell>
          <cell r="P23">
            <v>9.1067831875091265E-3</v>
          </cell>
          <cell r="Q23">
            <v>1.6601868453335777E-2</v>
          </cell>
          <cell r="R23">
            <v>2.8548920904865049E-3</v>
          </cell>
          <cell r="S23">
            <v>-3.1228409561973258E-2</v>
          </cell>
          <cell r="T23">
            <v>-3.1981907074200899E-2</v>
          </cell>
          <cell r="U23">
            <v>-2.2810105094984823E-2</v>
          </cell>
          <cell r="V23">
            <v>1.9128343868641817E-3</v>
          </cell>
          <cell r="W23">
            <v>-7.8021922701465241E-2</v>
          </cell>
          <cell r="X23">
            <v>-5.9200455535038499E-2</v>
          </cell>
        </row>
        <row r="24">
          <cell r="O24">
            <v>4.1171666666666665E-3</v>
          </cell>
          <cell r="P24">
            <v>1.0279415640028988E-2</v>
          </cell>
          <cell r="Q24">
            <v>1.5761728703333366E-2</v>
          </cell>
          <cell r="R24">
            <v>9.8466447879570485E-3</v>
          </cell>
          <cell r="S24">
            <v>1.2525290944917389E-2</v>
          </cell>
          <cell r="T24">
            <v>1.2863592323073991E-2</v>
          </cell>
          <cell r="U24">
            <v>-2.6950907198191043E-3</v>
          </cell>
          <cell r="V24">
            <v>-2.1834293319518805E-2</v>
          </cell>
          <cell r="W24">
            <v>6.5713271680774232E-2</v>
          </cell>
          <cell r="X24">
            <v>-9.8493858987607208E-3</v>
          </cell>
        </row>
        <row r="25">
          <cell r="O25">
            <v>3.4215833333333333E-3</v>
          </cell>
          <cell r="P25">
            <v>7.0844736622235338E-3</v>
          </cell>
          <cell r="Q25">
            <v>5.363378242906558E-3</v>
          </cell>
          <cell r="R25">
            <v>5.6058559624487803E-3</v>
          </cell>
          <cell r="S25">
            <v>2.3347663668426666E-2</v>
          </cell>
          <cell r="T25">
            <v>3.579400131615551E-2</v>
          </cell>
          <cell r="U25">
            <v>4.6100448901440272E-2</v>
          </cell>
          <cell r="V25">
            <v>1.8790037969382833E-2</v>
          </cell>
          <cell r="W25">
            <v>4.4057632676337333E-2</v>
          </cell>
          <cell r="X25">
            <v>2.2066427826476831E-2</v>
          </cell>
          <cell r="Z25">
            <v>39353</v>
          </cell>
          <cell r="AA25">
            <v>4.9979495522337825E-2</v>
          </cell>
          <cell r="AB25">
            <v>5.7962373855223959E-2</v>
          </cell>
          <cell r="AC25">
            <v>5.6438207782256056E-2</v>
          </cell>
          <cell r="AD25">
            <v>4.081789013785353E-2</v>
          </cell>
          <cell r="AE25">
            <v>7.7898311791083863E-2</v>
          </cell>
          <cell r="AF25">
            <v>0.14290526630984024</v>
          </cell>
          <cell r="AG25">
            <v>0.18946824235275295</v>
          </cell>
          <cell r="AH25">
            <v>0.13377897315203868</v>
          </cell>
          <cell r="AI25">
            <v>5.6829174248625325E-2</v>
          </cell>
          <cell r="AJ25">
            <v>9.5066789099925719E-2</v>
          </cell>
        </row>
        <row r="26">
          <cell r="O26">
            <v>3.163E-3</v>
          </cell>
          <cell r="P26">
            <v>3.6969025541409017E-3</v>
          </cell>
          <cell r="Q26">
            <v>7.8544406085758744E-3</v>
          </cell>
          <cell r="R26">
            <v>1.0869847230828844E-2</v>
          </cell>
          <cell r="S26">
            <v>6.8113570201333573E-3</v>
          </cell>
          <cell r="T26">
            <v>1.4822335025380884E-2</v>
          </cell>
          <cell r="U26">
            <v>2.9854675008263998E-2</v>
          </cell>
          <cell r="V26">
            <v>3.0656165055060747E-2</v>
          </cell>
          <cell r="W26">
            <v>1.1205700996394397E-2</v>
          </cell>
          <cell r="X26">
            <v>1.2770306469701787E-2</v>
          </cell>
          <cell r="Z26">
            <v>39386</v>
          </cell>
          <cell r="AA26">
            <v>4.9041559355819997E-2</v>
          </cell>
          <cell r="AB26">
            <v>5.7825657189713109E-2</v>
          </cell>
          <cell r="AC26">
            <v>5.9314091252595125E-2</v>
          </cell>
          <cell r="AD26">
            <v>4.3135648255091974E-2</v>
          </cell>
          <cell r="AE26">
            <v>6.9593240535123835E-2</v>
          </cell>
          <cell r="AF26">
            <v>0.12441760889443665</v>
          </cell>
          <cell r="AG26">
            <v>0.18231395781942883</v>
          </cell>
          <cell r="AH26">
            <v>0.14985118542528864</v>
          </cell>
          <cell r="AI26">
            <v>5.6751208177947543E-3</v>
          </cell>
          <cell r="AJ26">
            <v>5.3216629977820507E-2</v>
          </cell>
        </row>
        <row r="27">
          <cell r="O27">
            <v>3.2593333333333333E-3</v>
          </cell>
          <cell r="P27">
            <v>1.7180602974248282E-2</v>
          </cell>
          <cell r="Q27">
            <v>3.0392781996116502E-2</v>
          </cell>
          <cell r="R27">
            <v>8.7915852907327618E-3</v>
          </cell>
          <cell r="S27">
            <v>-1.9753999159404345E-2</v>
          </cell>
          <cell r="T27">
            <v>-4.4043423821141348E-2</v>
          </cell>
          <cell r="U27">
            <v>-4.2446577703807109E-2</v>
          </cell>
          <cell r="V27">
            <v>-1.4675704327976047E-2</v>
          </cell>
          <cell r="W27">
            <v>-9.0695696941819892E-2</v>
          </cell>
          <cell r="X27">
            <v>-8.9545604723409999E-2</v>
          </cell>
          <cell r="Z27">
            <v>39416</v>
          </cell>
          <cell r="AA27">
            <v>4.8030535731985458E-2</v>
          </cell>
          <cell r="AB27">
            <v>7.0565968475851726E-2</v>
          </cell>
          <cell r="AC27">
            <v>8.0286656334834339E-2</v>
          </cell>
          <cell r="AD27">
            <v>3.7610025902170996E-2</v>
          </cell>
          <cell r="AE27">
            <v>3.313230506484488E-2</v>
          </cell>
          <cell r="AF27">
            <v>5.748127628281563E-2</v>
          </cell>
          <cell r="AG27">
            <v>0.10704591216146597</v>
          </cell>
          <cell r="AH27">
            <v>0.11312923249794005</v>
          </cell>
          <cell r="AI27">
            <v>-0.1261570436457643</v>
          </cell>
          <cell r="AJ27">
            <v>-6.4459524663720846E-2</v>
          </cell>
        </row>
        <row r="28">
          <cell r="O28">
            <v>2.6204166666666667E-3</v>
          </cell>
          <cell r="P28">
            <v>2.6181927731141474E-3</v>
          </cell>
          <cell r="Q28">
            <v>1.2140235032149782E-3</v>
          </cell>
          <cell r="R28">
            <v>-5.5973648600271542E-4</v>
          </cell>
          <cell r="S28">
            <v>3.4818006178387595E-3</v>
          </cell>
          <cell r="T28">
            <v>-8.628488866683881E-3</v>
          </cell>
          <cell r="U28">
            <v>-1.3743528623040069E-2</v>
          </cell>
          <cell r="V28">
            <v>3.3379196444245363E-3</v>
          </cell>
          <cell r="W28">
            <v>-5.0283380611777173E-2</v>
          </cell>
          <cell r="X28">
            <v>-6.923558897243165E-3</v>
          </cell>
          <cell r="Z28">
            <v>39447</v>
          </cell>
          <cell r="AA28">
            <v>4.6399982886574209E-2</v>
          </cell>
          <cell r="AB28">
            <v>7.3167394320481582E-2</v>
          </cell>
          <cell r="AC28">
            <v>9.0550877069209168E-2</v>
          </cell>
          <cell r="AD28">
            <v>4.6430155595259093E-2</v>
          </cell>
          <cell r="AE28">
            <v>2.5303761255792701E-2</v>
          </cell>
          <cell r="AF28">
            <v>3.5295776633998299E-2</v>
          </cell>
          <cell r="AG28">
            <v>7.0923037517356624E-2</v>
          </cell>
          <cell r="AH28">
            <v>9.7247910314715025E-2</v>
          </cell>
          <cell r="AI28">
            <v>-0.1569174328556816</v>
          </cell>
          <cell r="AJ28">
            <v>-8.5228523728802297E-2</v>
          </cell>
        </row>
        <row r="29">
          <cell r="O29">
            <v>2.6973333333333333E-3</v>
          </cell>
          <cell r="P29">
            <v>1.7362253949897877E-2</v>
          </cell>
          <cell r="Q29">
            <v>2.5227539167509638E-2</v>
          </cell>
          <cell r="R29">
            <v>1.1817883117690497E-2</v>
          </cell>
          <cell r="S29">
            <v>-1.5001132549471885E-2</v>
          </cell>
          <cell r="T29">
            <v>-6.1163474897164116E-2</v>
          </cell>
          <cell r="U29">
            <v>-7.707074521651569E-2</v>
          </cell>
          <cell r="V29">
            <v>-2.8342341803256788E-2</v>
          </cell>
          <cell r="W29">
            <v>-1.0256848792108197E-2</v>
          </cell>
          <cell r="X29">
            <v>-7.5102264004122121E-2</v>
          </cell>
          <cell r="Z29">
            <v>39478</v>
          </cell>
          <cell r="AA29">
            <v>4.4863562872002216E-2</v>
          </cell>
          <cell r="AB29">
            <v>8.9457579147804056E-2</v>
          </cell>
          <cell r="AC29">
            <v>0.11977198292736513</v>
          </cell>
          <cell r="AD29">
            <v>5.8451181787498196E-2</v>
          </cell>
          <cell r="AE29">
            <v>-1.0128855752569166E-3</v>
          </cell>
          <cell r="AF29">
            <v>-4.1502113694515841E-2</v>
          </cell>
          <cell r="AG29">
            <v>-2.2583203908734251E-2</v>
          </cell>
          <cell r="AH29">
            <v>5.2527259392294301E-2</v>
          </cell>
          <cell r="AI29">
            <v>-0.23037705092448313</v>
          </cell>
          <cell r="AJ29">
            <v>-0.168894449925863</v>
          </cell>
        </row>
        <row r="30">
          <cell r="O30">
            <v>1.6174166666666667E-3</v>
          </cell>
          <cell r="P30">
            <v>1.0003876417102431E-2</v>
          </cell>
          <cell r="Q30">
            <v>1.0873810250646709E-2</v>
          </cell>
          <cell r="R30">
            <v>7.2377401633727523E-4</v>
          </cell>
          <cell r="S30">
            <v>-1.103283195183391E-2</v>
          </cell>
          <cell r="T30">
            <v>-3.4761162090602316E-2</v>
          </cell>
          <cell r="U30">
            <v>-7.3584069287686571E-3</v>
          </cell>
          <cell r="V30">
            <v>1.2406877158998464E-2</v>
          </cell>
          <cell r="W30">
            <v>-3.5582260216569406E-2</v>
          </cell>
          <cell r="X30">
            <v>-2.9293388664658138E-2</v>
          </cell>
          <cell r="Z30">
            <v>39507</v>
          </cell>
          <cell r="AA30">
            <v>4.2121832676043525E-2</v>
          </cell>
          <cell r="AB30">
            <v>9.1651204378373485E-2</v>
          </cell>
          <cell r="AC30">
            <v>0.11358077109502074</v>
          </cell>
          <cell r="AD30">
            <v>3.8147190235795492E-2</v>
          </cell>
          <cell r="AE30">
            <v>-2.6139182526530469E-2</v>
          </cell>
          <cell r="AF30">
            <v>-5.4157603673533394E-2</v>
          </cell>
          <cell r="AG30">
            <v>-2.3402485172163701E-2</v>
          </cell>
          <cell r="AH30">
            <v>5.69220220345803E-2</v>
          </cell>
          <cell r="AI30">
            <v>-0.24076107446721673</v>
          </cell>
          <cell r="AJ30">
            <v>-0.1900038422839927</v>
          </cell>
        </row>
        <row r="31">
          <cell r="O31">
            <v>1.5316666666666666E-3</v>
          </cell>
          <cell r="P31">
            <v>2.2104698162175307E-3</v>
          </cell>
          <cell r="Q31">
            <v>7.2519270707680494E-3</v>
          </cell>
          <cell r="R31">
            <v>-1.3274600165815498E-2</v>
          </cell>
          <cell r="S31">
            <v>-3.9265009750193425E-3</v>
          </cell>
          <cell r="T31">
            <v>-5.9595830546433914E-3</v>
          </cell>
          <cell r="U31">
            <v>-1.2476297782296752E-2</v>
          </cell>
          <cell r="V31">
            <v>-2.5935990429313827E-2</v>
          </cell>
          <cell r="W31">
            <v>6.2313864063653801E-2</v>
          </cell>
          <cell r="X31">
            <v>-2.5659270190973027E-2</v>
          </cell>
          <cell r="Z31">
            <v>39538</v>
          </cell>
          <cell r="AA31">
            <v>3.9280375353696551E-2</v>
          </cell>
          <cell r="AB31">
            <v>8.9877873375350026E-2</v>
          </cell>
          <cell r="AC31">
            <v>0.12228680239782119</v>
          </cell>
          <cell r="AD31">
            <v>2.9379114149502783E-2</v>
          </cell>
          <cell r="AE31">
            <v>-3.2770564992046003E-2</v>
          </cell>
          <cell r="AF31">
            <v>-6.9084920400320771E-2</v>
          </cell>
          <cell r="AG31">
            <v>-5.0707313529434583E-2</v>
          </cell>
          <cell r="AH31">
            <v>1.7755326440218155E-2</v>
          </cell>
          <cell r="AI31">
            <v>-0.17372780122640752</v>
          </cell>
          <cell r="AJ31">
            <v>-0.21234578356729006</v>
          </cell>
        </row>
        <row r="32">
          <cell r="O32">
            <v>1.0963333333333333E-3</v>
          </cell>
          <cell r="P32">
            <v>-7.7915646091355484E-3</v>
          </cell>
          <cell r="Q32">
            <v>-1.6950359064547893E-2</v>
          </cell>
          <cell r="R32">
            <v>5.7222258433424766E-3</v>
          </cell>
          <cell r="S32">
            <v>3.998217355319289E-2</v>
          </cell>
          <cell r="T32">
            <v>4.7546684811370588E-2</v>
          </cell>
          <cell r="U32">
            <v>4.9805203840266987E-2</v>
          </cell>
          <cell r="V32">
            <v>9.7373502364541675E-3</v>
          </cell>
          <cell r="W32">
            <v>5.8592356994843664E-2</v>
          </cell>
          <cell r="X32">
            <v>1.41069782242913E-2</v>
          </cell>
          <cell r="Z32">
            <v>39568</v>
          </cell>
          <cell r="AA32">
            <v>3.6078947640909798E-2</v>
          </cell>
          <cell r="AB32">
            <v>7.7550246096949937E-2</v>
          </cell>
          <cell r="AC32">
            <v>9.7498492363646383E-2</v>
          </cell>
          <cell r="AD32">
            <v>2.7668489152876674E-2</v>
          </cell>
          <cell r="AE32">
            <v>-7.3127253575335782E-3</v>
          </cell>
          <cell r="AF32">
            <v>-6.528734391548674E-2</v>
          </cell>
          <cell r="AG32">
            <v>-4.3647725400225879E-2</v>
          </cell>
          <cell r="AH32">
            <v>1.0725044676078932E-2</v>
          </cell>
          <cell r="AI32">
            <v>-0.12514125896963324</v>
          </cell>
          <cell r="AJ32">
            <v>-0.21627168506415984</v>
          </cell>
        </row>
        <row r="33">
          <cell r="O33">
            <v>1.1476666666666666E-3</v>
          </cell>
          <cell r="P33">
            <v>-3.6381118576714888E-3</v>
          </cell>
          <cell r="Q33">
            <v>-1.2049393654133711E-2</v>
          </cell>
          <cell r="R33">
            <v>-9.1009947050794127E-3</v>
          </cell>
          <cell r="S33">
            <v>4.4842363024180099E-3</v>
          </cell>
          <cell r="T33">
            <v>1.0674153248796614E-2</v>
          </cell>
          <cell r="U33">
            <v>1.1093512879475576E-2</v>
          </cell>
          <cell r="V33">
            <v>1.8462281598387476E-2</v>
          </cell>
          <cell r="W33">
            <v>7.7082057736999054E-3</v>
          </cell>
          <cell r="X33">
            <v>3.8051620576317502E-2</v>
          </cell>
          <cell r="Z33">
            <v>39598</v>
          </cell>
          <cell r="AA33">
            <v>3.3101093743297172E-2</v>
          </cell>
          <cell r="AB33">
            <v>7.4421777648431942E-2</v>
          </cell>
          <cell r="AC33">
            <v>9.378498568740512E-2</v>
          </cell>
          <cell r="AD33">
            <v>2.8499232832916555E-2</v>
          </cell>
          <cell r="AE33">
            <v>-9.4527563412449833E-3</v>
          </cell>
          <cell r="AF33">
            <v>-8.5089702212175267E-2</v>
          </cell>
          <cell r="AG33">
            <v>-5.6368168127307827E-2</v>
          </cell>
          <cell r="AH33">
            <v>7.7535547886791178E-3</v>
          </cell>
          <cell r="AI33">
            <v>-0.11885825854873078</v>
          </cell>
          <cell r="AJ33">
            <v>-0.20274351385033695</v>
          </cell>
        </row>
        <row r="34">
          <cell r="O34">
            <v>1.5658333333333334E-3</v>
          </cell>
          <cell r="P34">
            <v>2.8785932659363134E-3</v>
          </cell>
          <cell r="Q34">
            <v>8.3444641719214729E-3</v>
          </cell>
          <cell r="R34">
            <v>-3.8380583170812832E-3</v>
          </cell>
          <cell r="S34">
            <v>-2.3936129690856678E-2</v>
          </cell>
          <cell r="T34">
            <v>-8.5962381639269392E-2</v>
          </cell>
          <cell r="U34">
            <v>-8.1010401578260782E-2</v>
          </cell>
          <cell r="V34">
            <v>-8.081337807452682E-3</v>
          </cell>
          <cell r="W34">
            <v>-0.10875523887934557</v>
          </cell>
          <cell r="X34">
            <v>-7.3752231909912203E-2</v>
          </cell>
          <cell r="Z34">
            <v>39629</v>
          </cell>
          <cell r="AA34">
            <v>3.0655313411515728E-2</v>
          </cell>
          <cell r="AB34">
            <v>7.3017350359254607E-2</v>
          </cell>
          <cell r="AC34">
            <v>0.10348966688685501</v>
          </cell>
          <cell r="AD34">
            <v>2.9497069526392528E-2</v>
          </cell>
          <cell r="AE34">
            <v>-1.6443277601216E-2</v>
          </cell>
          <cell r="AF34">
            <v>-0.14856819769182128</v>
          </cell>
          <cell r="AG34">
            <v>-0.12495943483362015</v>
          </cell>
          <cell r="AH34">
            <v>-5.6195457470996635E-3</v>
          </cell>
          <cell r="AI34">
            <v>-0.13636682002635236</v>
          </cell>
          <cell r="AJ34">
            <v>-0.25637877656958785</v>
          </cell>
        </row>
        <row r="35">
          <cell r="O35">
            <v>1.4421666666666667E-3</v>
          </cell>
          <cell r="P35">
            <v>4.0165269094718514E-3</v>
          </cell>
          <cell r="Q35">
            <v>3.9893344096981753E-3</v>
          </cell>
          <cell r="R35">
            <v>-8.6111550479441856E-3</v>
          </cell>
          <cell r="S35">
            <v>-1.5396542932367585E-2</v>
          </cell>
          <cell r="T35">
            <v>-9.8593749999998925E-3</v>
          </cell>
          <cell r="U35">
            <v>-2.5268698337529427E-2</v>
          </cell>
          <cell r="V35">
            <v>-2.6122942477532662E-2</v>
          </cell>
          <cell r="W35">
            <v>3.4710764746879619E-2</v>
          </cell>
          <cell r="X35">
            <v>1.6297952781792135E-2</v>
          </cell>
          <cell r="Z35">
            <v>39660</v>
          </cell>
          <cell r="AA35">
            <v>2.802786530833079E-2</v>
          </cell>
          <cell r="AB35">
            <v>6.7604708808222336E-2</v>
          </cell>
          <cell r="AC35">
            <v>8.9799153990604674E-2</v>
          </cell>
          <cell r="AD35">
            <v>1.7726411556664656E-2</v>
          </cell>
          <cell r="AE35">
            <v>-3.69789272941623E-4</v>
          </cell>
          <cell r="AF35">
            <v>-0.12911006205034092</v>
          </cell>
          <cell r="AG35">
            <v>-0.1271610220908026</v>
          </cell>
          <cell r="AH35">
            <v>-3.3444549656559186E-2</v>
          </cell>
          <cell r="AI35">
            <v>-3.076811681937297E-2</v>
          </cell>
          <cell r="AJ35">
            <v>-0.19670377025191488</v>
          </cell>
        </row>
        <row r="36">
          <cell r="O36">
            <v>1.3828333333333334E-3</v>
          </cell>
          <cell r="P36">
            <v>4.837383127107131E-3</v>
          </cell>
          <cell r="Q36">
            <v>1.2602712189521137E-2</v>
          </cell>
          <cell r="R36">
            <v>7.0194429961503158E-3</v>
          </cell>
          <cell r="S36">
            <v>2.8748540113197052E-3</v>
          </cell>
          <cell r="T36">
            <v>1.2190503242910378E-2</v>
          </cell>
          <cell r="U36">
            <v>-1.5980098046389224E-2</v>
          </cell>
          <cell r="V36">
            <v>-1.3897780726167874E-2</v>
          </cell>
          <cell r="W36">
            <v>2.2091943831425542E-2</v>
          </cell>
          <cell r="X36">
            <v>1.7646279835465739E-2</v>
          </cell>
          <cell r="Z36">
            <v>39689</v>
          </cell>
          <cell r="AA36">
            <v>2.5228420230582804E-2</v>
          </cell>
          <cell r="AB36">
            <v>6.1853884386443569E-2</v>
          </cell>
          <cell r="AC36">
            <v>8.6409881263633137E-2</v>
          </cell>
          <cell r="AD36">
            <v>1.4877149295733805E-2</v>
          </cell>
          <cell r="AE36">
            <v>-9.8973224534090187E-3</v>
          </cell>
          <cell r="AF36">
            <v>-0.12968880385891357</v>
          </cell>
          <cell r="AG36">
            <v>-0.13878803014875896</v>
          </cell>
          <cell r="AH36">
            <v>-2.5602238838021596E-2</v>
          </cell>
          <cell r="AI36">
            <v>-7.0440309013792946E-2</v>
          </cell>
          <cell r="AJ36">
            <v>-0.17439689662666713</v>
          </cell>
        </row>
        <row r="37">
          <cell r="O37">
            <v>1.4252500000000001E-3</v>
          </cell>
          <cell r="P37">
            <v>7.9057868939920173E-3</v>
          </cell>
          <cell r="Q37">
            <v>6.5476195483118449E-3</v>
          </cell>
          <cell r="R37">
            <v>-7.3374239290883603E-2</v>
          </cell>
          <cell r="S37">
            <v>-8.1066127068940896E-2</v>
          </cell>
          <cell r="T37">
            <v>-9.0791453271283018E-2</v>
          </cell>
          <cell r="U37">
            <v>-0.12077093526463711</v>
          </cell>
          <cell r="V37">
            <v>-6.5295530508631461E-2</v>
          </cell>
          <cell r="W37">
            <v>-1.9327063520495624E-3</v>
          </cell>
          <cell r="X37">
            <v>-0.10268180431977414</v>
          </cell>
          <cell r="Z37">
            <v>39721</v>
          </cell>
          <cell r="AA37">
            <v>2.3188701628170438E-2</v>
          </cell>
          <cell r="AB37">
            <v>6.2719864021975269E-2</v>
          </cell>
          <cell r="AC37">
            <v>8.7689589162126325E-2</v>
          </cell>
          <cell r="AD37">
            <v>-6.4831111596494684E-2</v>
          </cell>
          <cell r="AE37">
            <v>-0.11091907434881676</v>
          </cell>
          <cell r="AF37">
            <v>-0.23605043392827896</v>
          </cell>
          <cell r="AG37">
            <v>-0.27616645649432547</v>
          </cell>
          <cell r="AH37">
            <v>-0.10602390239719328</v>
          </cell>
          <cell r="AI37">
            <v>-0.11138705754336509</v>
          </cell>
          <cell r="AJ37">
            <v>-0.27516581418059305</v>
          </cell>
        </row>
        <row r="38">
          <cell r="O38">
            <v>7.536666666666667E-4</v>
          </cell>
          <cell r="P38">
            <v>9.1985144522923612E-3</v>
          </cell>
          <cell r="Q38">
            <v>-1.4566112853530155E-3</v>
          </cell>
          <cell r="R38">
            <v>-7.3814270690177985E-2</v>
          </cell>
          <cell r="S38">
            <v>-0.16455928480907411</v>
          </cell>
          <cell r="T38">
            <v>-0.16942453444905514</v>
          </cell>
          <cell r="U38">
            <v>-0.19044518115084064</v>
          </cell>
          <cell r="V38">
            <v>-5.7196273130460606E-2</v>
          </cell>
          <cell r="W38">
            <v>-0.31668203340344414</v>
          </cell>
          <cell r="X38">
            <v>-0.20915208504463967</v>
          </cell>
          <cell r="Z38">
            <v>39752</v>
          </cell>
          <cell r="AA38">
            <v>2.0731271833488218E-2</v>
          </cell>
          <cell r="AB38">
            <v>6.8545001305378994E-2</v>
          </cell>
          <cell r="AC38">
            <v>7.7640981147798716E-2</v>
          </cell>
          <cell r="AD38">
            <v>-0.14317349428657378</v>
          </cell>
          <cell r="AE38">
            <v>-0.26225066969146094</v>
          </cell>
          <cell r="AF38">
            <v>-0.37474989995998398</v>
          </cell>
          <cell r="AG38">
            <v>-0.43100425000743015</v>
          </cell>
          <cell r="AH38">
            <v>-0.18222582357794737</v>
          </cell>
          <cell r="AI38">
            <v>-0.39952357039468944</v>
          </cell>
          <cell r="AJ38">
            <v>-0.43399445966992023</v>
          </cell>
        </row>
        <row r="39">
          <cell r="O39">
            <v>3.6333333333333335E-4</v>
          </cell>
          <cell r="P39">
            <v>1.1699459175943838E-2</v>
          </cell>
          <cell r="Q39">
            <v>5.377488764468108E-2</v>
          </cell>
          <cell r="R39">
            <v>3.8786167193549659E-2</v>
          </cell>
          <cell r="S39">
            <v>-8.0197680005491101E-2</v>
          </cell>
          <cell r="T39">
            <v>-7.4849032258064496E-2</v>
          </cell>
          <cell r="U39">
            <v>-6.7192478453904414E-2</v>
          </cell>
          <cell r="V39">
            <v>-2.6423082314796176E-2</v>
          </cell>
          <cell r="W39">
            <v>-0.23055367176052644</v>
          </cell>
          <cell r="X39">
            <v>-0.13759715332646194</v>
          </cell>
          <cell r="Z39">
            <v>39780</v>
          </cell>
          <cell r="AA39">
            <v>1.7784837481954696E-2</v>
          </cell>
          <cell r="AB39">
            <v>6.2787077107858691E-2</v>
          </cell>
          <cell r="AC39">
            <v>0.10209526277000425</v>
          </cell>
          <cell r="AD39">
            <v>-0.11769731746584922</v>
          </cell>
          <cell r="AE39">
            <v>-0.30774158220458925</v>
          </cell>
          <cell r="AF39">
            <v>-0.39489852410980741</v>
          </cell>
          <cell r="AG39">
            <v>-0.44570871664990641</v>
          </cell>
          <cell r="AH39">
            <v>-0.19197561093271709</v>
          </cell>
          <cell r="AI39">
            <v>-0.49188145002697459</v>
          </cell>
          <cell r="AJ39">
            <v>-0.46386684303350989</v>
          </cell>
        </row>
        <row r="40">
          <cell r="O40">
            <v>3.3833333333333334E-5</v>
          </cell>
          <cell r="P40">
            <v>5.7298655136690524E-3</v>
          </cell>
          <cell r="Q40">
            <v>3.5444483625123313E-2</v>
          </cell>
          <cell r="R40">
            <v>5.5536517469921165E-2</v>
          </cell>
          <cell r="S40">
            <v>7.1138605734071492E-2</v>
          </cell>
          <cell r="T40">
            <v>7.8215656520574939E-3</v>
          </cell>
          <cell r="U40">
            <v>3.0573505201975548E-2</v>
          </cell>
          <cell r="V40">
            <v>-1.7190822580770204E-2</v>
          </cell>
          <cell r="W40">
            <v>0.1639232341222272</v>
          </cell>
          <cell r="X40">
            <v>1.9177121635455263E-2</v>
          </cell>
          <cell r="Z40">
            <v>39813</v>
          </cell>
          <cell r="AA40">
            <v>1.5159132625172989E-2</v>
          </cell>
          <cell r="AB40">
            <v>6.6085486812258454E-2</v>
          </cell>
          <cell r="AC40">
            <v>0.13977474693343317</v>
          </cell>
          <cell r="AD40">
            <v>-6.8175723077196104E-2</v>
          </cell>
          <cell r="AE40">
            <v>-0.26106809711096934</v>
          </cell>
          <cell r="AF40">
            <v>-0.38485793674575719</v>
          </cell>
          <cell r="AG40">
            <v>-0.42080186304128908</v>
          </cell>
          <cell r="AH40">
            <v>-0.20850815103716303</v>
          </cell>
          <cell r="AI40">
            <v>-0.37727636441376766</v>
          </cell>
          <cell r="AJ40">
            <v>-0.44977584291127315</v>
          </cell>
        </row>
        <row r="41">
          <cell r="O41">
            <v>6.3416666666666672E-5</v>
          </cell>
          <cell r="P41">
            <v>-3.4211141150162216E-3</v>
          </cell>
          <cell r="Q41">
            <v>-3.0811817882681614E-2</v>
          </cell>
          <cell r="R41">
            <v>3.3304171534906946E-3</v>
          </cell>
          <cell r="S41">
            <v>5.8869018176245014E-2</v>
          </cell>
          <cell r="T41">
            <v>-8.5657348463880401E-2</v>
          </cell>
          <cell r="U41">
            <v>-8.8456146832856963E-2</v>
          </cell>
          <cell r="V41">
            <v>1.1136160111223647E-2</v>
          </cell>
          <cell r="W41">
            <v>-0.1730783566717542</v>
          </cell>
          <cell r="X41">
            <v>-7.1115811110969651E-2</v>
          </cell>
          <cell r="Z41">
            <v>39843</v>
          </cell>
          <cell r="AA41">
            <v>1.249248091497912E-2</v>
          </cell>
          <cell r="AB41">
            <v>4.4306767408172743E-2</v>
          </cell>
          <cell r="AC41">
            <v>7.747419260765076E-2</v>
          </cell>
          <cell r="AD41">
            <v>-7.5992175985330479E-2</v>
          </cell>
          <cell r="AE41">
            <v>-0.2056517785280495</v>
          </cell>
          <cell r="AF41">
            <v>-0.40090674984585239</v>
          </cell>
          <cell r="AG41">
            <v>-0.42794694308998538</v>
          </cell>
          <cell r="AH41">
            <v>-0.17634979545690133</v>
          </cell>
          <cell r="AI41">
            <v>-0.47971991374745582</v>
          </cell>
          <cell r="AJ41">
            <v>-0.44740429133584736</v>
          </cell>
        </row>
        <row r="42">
          <cell r="O42">
            <v>1.885E-4</v>
          </cell>
          <cell r="P42">
            <v>-9.5264144027462638E-4</v>
          </cell>
          <cell r="Q42">
            <v>-5.4369245525816012E-3</v>
          </cell>
          <cell r="R42">
            <v>-1.5575420508491811E-2</v>
          </cell>
          <cell r="S42">
            <v>-3.2574725802525184E-2</v>
          </cell>
          <cell r="T42">
            <v>-0.10993122487528451</v>
          </cell>
          <cell r="U42">
            <v>-0.10487226255617943</v>
          </cell>
          <cell r="V42">
            <v>-2.1065470394521224E-3</v>
          </cell>
          <cell r="W42">
            <v>-0.20824397418865059</v>
          </cell>
          <cell r="X42">
            <v>-0.12385810823167931</v>
          </cell>
          <cell r="Z42">
            <v>39871</v>
          </cell>
          <cell r="AA42">
            <v>1.1048049781114955E-2</v>
          </cell>
          <cell r="AB42">
            <v>3.2978131931766352E-2</v>
          </cell>
          <cell r="AC42">
            <v>6.0088841800522319E-2</v>
          </cell>
          <cell r="AD42">
            <v>-9.1041866676333405E-2</v>
          </cell>
          <cell r="AE42">
            <v>-0.22295444096244177</v>
          </cell>
          <cell r="AF42">
            <v>-0.44756243283256802</v>
          </cell>
          <cell r="AG42">
            <v>-0.48414355986699276</v>
          </cell>
          <cell r="AH42">
            <v>-0.18815728617962324</v>
          </cell>
          <cell r="AI42">
            <v>-0.57286673978788016</v>
          </cell>
          <cell r="AJ42">
            <v>-0.50123730082970397</v>
          </cell>
        </row>
        <row r="43">
          <cell r="O43">
            <v>2.0541666666666665E-4</v>
          </cell>
          <cell r="P43">
            <v>5.2650104946354581E-3</v>
          </cell>
          <cell r="Q43">
            <v>2.2610590174996226E-2</v>
          </cell>
          <cell r="R43">
            <v>-2.0705997985362989E-3</v>
          </cell>
          <cell r="S43">
            <v>3.0026251717243158E-2</v>
          </cell>
          <cell r="T43">
            <v>8.5404508291501591E-2</v>
          </cell>
          <cell r="U43">
            <v>7.2396984790773278E-2</v>
          </cell>
          <cell r="V43">
            <v>3.4840468824759441E-4</v>
          </cell>
          <cell r="W43">
            <v>4.0618323790004851E-2</v>
          </cell>
          <cell r="X43">
            <v>0.10514934671006704</v>
          </cell>
          <cell r="Z43">
            <v>39903</v>
          </cell>
          <cell r="AA43">
            <v>9.7091979797681027E-3</v>
          </cell>
          <cell r="AB43">
            <v>3.6126446401560486E-2</v>
          </cell>
          <cell r="AC43">
            <v>7.6253166677134443E-2</v>
          </cell>
          <cell r="AD43">
            <v>-8.072089261271731E-2</v>
          </cell>
          <cell r="AE43">
            <v>-0.19646760467732005</v>
          </cell>
          <cell r="AF43">
            <v>-0.39678687533076296</v>
          </cell>
          <cell r="AG43">
            <v>-0.43980798664254916</v>
          </cell>
          <cell r="AH43">
            <v>-0.16625031245540867</v>
          </cell>
          <cell r="AI43">
            <v>-0.58159004385330815</v>
          </cell>
          <cell r="AJ43">
            <v>-0.4342766813623401</v>
          </cell>
        </row>
        <row r="44">
          <cell r="O44">
            <v>1.6741666666666665E-4</v>
          </cell>
          <cell r="P44">
            <v>-1.2727690415141879E-3</v>
          </cell>
          <cell r="Q44">
            <v>-1.8985672233172157E-2</v>
          </cell>
          <cell r="R44">
            <v>3.083789318442709E-2</v>
          </cell>
          <cell r="S44">
            <v>0.11309119000614043</v>
          </cell>
          <cell r="T44">
            <v>9.3925075513554779E-2</v>
          </cell>
          <cell r="U44">
            <v>0.10903852363329269</v>
          </cell>
          <cell r="V44">
            <v>7.9822961908986301E-3</v>
          </cell>
          <cell r="W44">
            <v>0.31019559627638604</v>
          </cell>
          <cell r="X44">
            <v>0.17665158584704921</v>
          </cell>
          <cell r="Z44">
            <v>39933</v>
          </cell>
          <cell r="AA44">
            <v>8.7722894413393426E-3</v>
          </cell>
          <cell r="AB44">
            <v>4.2933782688352684E-2</v>
          </cell>
          <cell r="AC44">
            <v>7.4024884246933986E-2</v>
          </cell>
          <cell r="AD44">
            <v>-5.7763949173004092E-2</v>
          </cell>
          <cell r="AE44">
            <v>-0.13998061422303842</v>
          </cell>
          <cell r="AF44">
            <v>-0.37008061547788329</v>
          </cell>
          <cell r="AG44">
            <v>-0.40820018687996595</v>
          </cell>
          <cell r="AH44">
            <v>-0.167699477192915</v>
          </cell>
          <cell r="AI44">
            <v>-0.48214354811909743</v>
          </cell>
          <cell r="AJ44">
            <v>-0.34360057240584974</v>
          </cell>
        </row>
        <row r="45">
          <cell r="O45">
            <v>1.0391666666666667E-4</v>
          </cell>
          <cell r="P45">
            <v>1.7028980802513694E-3</v>
          </cell>
          <cell r="Q45">
            <v>-1.0089408659124E-2</v>
          </cell>
          <cell r="R45">
            <v>4.3350455996423509E-2</v>
          </cell>
          <cell r="S45">
            <v>7.1134944032838821E-2</v>
          </cell>
          <cell r="T45">
            <v>5.3081426656431674E-2</v>
          </cell>
          <cell r="U45">
            <v>8.6201876777675768E-2</v>
          </cell>
          <cell r="V45">
            <v>2.8634142135389284E-2</v>
          </cell>
          <cell r="W45">
            <v>2.1567950912802836E-2</v>
          </cell>
          <cell r="X45">
            <v>0.10784709622174993</v>
          </cell>
          <cell r="Z45">
            <v>39962</v>
          </cell>
          <cell r="AA45">
            <v>7.7205903642092455E-3</v>
          </cell>
          <cell r="AB45">
            <v>4.8524441829600695E-2</v>
          </cell>
          <cell r="AC45">
            <v>7.6155631112080346E-2</v>
          </cell>
          <cell r="AD45">
            <v>-7.8883841506923735E-3</v>
          </cell>
          <cell r="AE45">
            <v>-8.2915606478448312E-2</v>
          </cell>
          <cell r="AF45">
            <v>-0.34364958082806085</v>
          </cell>
          <cell r="AG45">
            <v>-0.36423875784050908</v>
          </cell>
          <cell r="AH45">
            <v>-0.15938690146396339</v>
          </cell>
          <cell r="AI45">
            <v>-0.4750210910421514</v>
          </cell>
          <cell r="AJ45">
            <v>-0.29946624483080309</v>
          </cell>
        </row>
        <row r="46">
          <cell r="O46">
            <v>1.0816666666666666E-4</v>
          </cell>
          <cell r="P46">
            <v>-1.5064842712670945E-3</v>
          </cell>
          <cell r="Q46">
            <v>-1.9711412106332427E-3</v>
          </cell>
          <cell r="R46">
            <v>3.0351683744133551E-2</v>
          </cell>
          <cell r="S46">
            <v>3.2457787155333317E-2</v>
          </cell>
          <cell r="T46">
            <v>1.9583523728705643E-4</v>
          </cell>
          <cell r="U46">
            <v>-6.1340206185567236E-3</v>
          </cell>
          <cell r="V46">
            <v>4.597507104333598E-3</v>
          </cell>
          <cell r="W46">
            <v>-3.7322439285691233E-2</v>
          </cell>
          <cell r="X46">
            <v>5.2698212028991831E-2</v>
          </cell>
          <cell r="Z46">
            <v>39994</v>
          </cell>
          <cell r="AA46">
            <v>6.2539661394205304E-3</v>
          </cell>
          <cell r="AB46">
            <v>4.393977823427675E-2</v>
          </cell>
          <cell r="AC46">
            <v>6.5146301249905836E-2</v>
          </cell>
          <cell r="AD46">
            <v>2.6162344774484758E-2</v>
          </cell>
          <cell r="AE46">
            <v>-2.9929339285900025E-2</v>
          </cell>
          <cell r="AF46">
            <v>-0.28178124999999987</v>
          </cell>
          <cell r="AG46">
            <v>-0.31243893219601615</v>
          </cell>
          <cell r="AH46">
            <v>-0.14864206570939065</v>
          </cell>
          <cell r="AI46">
            <v>-0.4329443071659379</v>
          </cell>
          <cell r="AJ46">
            <v>-0.20383005828647349</v>
          </cell>
        </row>
        <row r="47">
          <cell r="O47">
            <v>1.4791666666666667E-4</v>
          </cell>
          <cell r="P47">
            <v>1.3047457693131648E-3</v>
          </cell>
          <cell r="Q47">
            <v>4.0199173375896624E-3</v>
          </cell>
          <cell r="R47">
            <v>3.9477855326000011E-2</v>
          </cell>
          <cell r="S47">
            <v>6.1185191542315387E-2</v>
          </cell>
          <cell r="T47">
            <v>7.4141756950789617E-2</v>
          </cell>
          <cell r="U47">
            <v>8.370935117473155E-2</v>
          </cell>
          <cell r="V47">
            <v>1.4734159911400146E-2</v>
          </cell>
          <cell r="W47">
            <v>0.10472812921795249</v>
          </cell>
          <cell r="X47">
            <v>9.0733049331057636E-2</v>
          </cell>
          <cell r="Z47">
            <v>40025</v>
          </cell>
          <cell r="AA47">
            <v>4.9534974363591999E-3</v>
          </cell>
          <cell r="AB47">
            <v>4.1120167076290404E-2</v>
          </cell>
          <cell r="AC47">
            <v>6.5178747105063994E-2</v>
          </cell>
          <cell r="AD47">
            <v>7.5938103191049988E-2</v>
          </cell>
          <cell r="AE47">
            <v>4.5522044951302298E-2</v>
          </cell>
          <cell r="AF47">
            <v>-0.22084931117738982</v>
          </cell>
          <cell r="AG47">
            <v>-0.23556742518475171</v>
          </cell>
          <cell r="AH47">
            <v>-0.11292501290250778</v>
          </cell>
          <cell r="AI47">
            <v>-0.39457247759453928</v>
          </cell>
          <cell r="AJ47">
            <v>-0.14551744797484623</v>
          </cell>
        </row>
        <row r="48">
          <cell r="O48">
            <v>1.4625E-4</v>
          </cell>
          <cell r="P48">
            <v>4.0230491823318726E-3</v>
          </cell>
          <cell r="Q48">
            <v>9.2942733426359947E-3</v>
          </cell>
          <cell r="R48">
            <v>2.1627922072108507E-2</v>
          </cell>
          <cell r="S48">
            <v>2.0637784887864496E-2</v>
          </cell>
          <cell r="T48">
            <v>3.3560173370599911E-2</v>
          </cell>
          <cell r="U48">
            <v>3.9100263220866127E-2</v>
          </cell>
          <cell r="V48">
            <v>1.1457930825694573E-2</v>
          </cell>
          <cell r="W48">
            <v>0.13389514055631868</v>
          </cell>
          <cell r="X48">
            <v>4.0951082220012092E-2</v>
          </cell>
          <cell r="Z48">
            <v>40056</v>
          </cell>
          <cell r="AA48">
            <v>3.7125047766704E-3</v>
          </cell>
          <cell r="AB48">
            <v>4.0276429067656494E-2</v>
          </cell>
          <cell r="AC48">
            <v>6.1698528552045939E-2</v>
          </cell>
          <cell r="AD48">
            <v>9.1546361181310765E-2</v>
          </cell>
          <cell r="AE48">
            <v>6.404034336120934E-2</v>
          </cell>
          <cell r="AF48">
            <v>-0.20439964765401486</v>
          </cell>
          <cell r="AG48">
            <v>-0.19277843046859899</v>
          </cell>
          <cell r="AH48">
            <v>-9.0115595117929881E-2</v>
          </cell>
          <cell r="AI48">
            <v>-0.32834679917227916</v>
          </cell>
          <cell r="AJ48">
            <v>-0.12594920760432315</v>
          </cell>
        </row>
        <row r="49">
          <cell r="O49">
            <v>1.0566666666666667E-4</v>
          </cell>
          <cell r="P49">
            <v>2.4286934496302592E-3</v>
          </cell>
          <cell r="Q49">
            <v>7.8610148489355325E-3</v>
          </cell>
          <cell r="R49">
            <v>2.0028054393316896E-2</v>
          </cell>
          <cell r="S49">
            <v>5.9918583229333855E-2</v>
          </cell>
          <cell r="T49">
            <v>3.5723383825517763E-2</v>
          </cell>
          <cell r="U49">
            <v>3.8117170228445296E-2</v>
          </cell>
          <cell r="V49">
            <v>1.6931328115874722E-2</v>
          </cell>
          <cell r="W49">
            <v>6.3951590315922457E-2</v>
          </cell>
          <cell r="X49">
            <v>6.9099691246945705E-2</v>
          </cell>
          <cell r="Z49">
            <v>40086</v>
          </cell>
          <cell r="AA49">
            <v>2.3899075156550431E-3</v>
          </cell>
          <cell r="AB49">
            <v>3.4623429269402761E-2</v>
          </cell>
          <cell r="AC49">
            <v>6.3083887606101285E-2</v>
          </cell>
          <cell r="AD49">
            <v>0.20157236965203995</v>
          </cell>
          <cell r="AE49">
            <v>0.22728758451031372</v>
          </cell>
          <cell r="AF49">
            <v>-9.3693199355258883E-2</v>
          </cell>
          <cell r="AG49">
            <v>-4.6903014106424168E-2</v>
          </cell>
          <cell r="AH49">
            <v>-1.0072181646724854E-2</v>
          </cell>
          <cell r="AI49">
            <v>-0.28400970985680118</v>
          </cell>
          <cell r="AJ49">
            <v>4.1378004795717072E-2</v>
          </cell>
        </row>
        <row r="50">
          <cell r="O50">
            <v>8.9583333333333333E-5</v>
          </cell>
          <cell r="P50">
            <v>2.1338756205400156E-3</v>
          </cell>
          <cell r="Q50">
            <v>-5.7464035846233052E-4</v>
          </cell>
          <cell r="R50">
            <v>8.1689089595957665E-3</v>
          </cell>
          <cell r="S50">
            <v>1.7965358863299752E-2</v>
          </cell>
          <cell r="T50">
            <v>-1.9761985847807084E-2</v>
          </cell>
          <cell r="U50">
            <v>-1.846527888693672E-2</v>
          </cell>
          <cell r="V50">
            <v>-3.9690569861128289E-4</v>
          </cell>
          <cell r="W50">
            <v>-4.5043821481328794E-2</v>
          </cell>
          <cell r="X50">
            <v>-8.3176443782514098E-2</v>
          </cell>
          <cell r="Z50">
            <v>40116</v>
          </cell>
          <cell r="AA50">
            <v>1.7247384003618027E-3</v>
          </cell>
          <cell r="AB50">
            <v>2.7380809755020996E-2</v>
          </cell>
          <cell r="AC50">
            <v>6.402286441202798E-2</v>
          </cell>
          <cell r="AD50">
            <v>0.30793194778632427</v>
          </cell>
          <cell r="AE50">
            <v>0.49542178598393938</v>
          </cell>
          <cell r="AF50">
            <v>6.961548387096772E-2</v>
          </cell>
          <cell r="AG50">
            <v>0.15557064507704355</v>
          </cell>
          <cell r="AH50">
            <v>4.9566184519213241E-2</v>
          </cell>
          <cell r="AI50">
            <v>6.1667445562241241E-4</v>
          </cell>
          <cell r="AJ50">
            <v>0.20726105192724864</v>
          </cell>
        </row>
        <row r="51">
          <cell r="O51">
            <v>3.7166666666666664E-5</v>
          </cell>
          <cell r="P51">
            <v>6.1042683968215439E-3</v>
          </cell>
          <cell r="Q51">
            <v>1.4117852488144678E-2</v>
          </cell>
          <cell r="R51">
            <v>1.4152194546203978E-2</v>
          </cell>
          <cell r="S51">
            <v>9.932619751409133E-3</v>
          </cell>
          <cell r="T51">
            <v>5.7363996950366314E-2</v>
          </cell>
          <cell r="U51">
            <v>3.8728224413968837E-2</v>
          </cell>
          <cell r="V51">
            <v>7.9809861968849205E-3</v>
          </cell>
          <cell r="W51">
            <v>6.9105741019396483E-2</v>
          </cell>
          <cell r="X51">
            <v>2.1388919272096185E-3</v>
          </cell>
          <cell r="Z51">
            <v>40147</v>
          </cell>
          <cell r="AA51">
            <v>1.3981278500208028E-3</v>
          </cell>
          <cell r="AB51">
            <v>2.1698893469259017E-2</v>
          </cell>
          <cell r="AC51">
            <v>2.3980163987025849E-2</v>
          </cell>
          <cell r="AD51">
            <v>0.27691540093202383</v>
          </cell>
          <cell r="AE51">
            <v>0.64195633031356847</v>
          </cell>
          <cell r="AF51">
            <v>0.2224738909220747</v>
          </cell>
          <cell r="AG51">
            <v>0.28678619824622342</v>
          </cell>
          <cell r="AH51">
            <v>8.6655546709102582E-2</v>
          </cell>
          <cell r="AI51">
            <v>0.39030494000525162</v>
          </cell>
          <cell r="AJ51">
            <v>0.40287483687218795</v>
          </cell>
        </row>
        <row r="52">
          <cell r="O52">
            <v>3.8833333333333333E-5</v>
          </cell>
          <cell r="P52">
            <v>-7.9043772051670125E-3</v>
          </cell>
          <cell r="Q52">
            <v>-2.6387594061356379E-2</v>
          </cell>
          <cell r="R52">
            <v>-1.0027892603759581E-2</v>
          </cell>
          <cell r="S52">
            <v>3.1354530250145451E-2</v>
          </cell>
          <cell r="T52">
            <v>1.7770597738287375E-2</v>
          </cell>
          <cell r="U52">
            <v>1.6936319092087926E-2</v>
          </cell>
          <cell r="V52">
            <v>8.092985115390583E-3</v>
          </cell>
          <cell r="W52">
            <v>7.1497197363731724E-2</v>
          </cell>
          <cell r="X52">
            <v>6.5194158562665416E-2</v>
          </cell>
          <cell r="Z52">
            <v>40178</v>
          </cell>
          <cell r="AA52">
            <v>1.4031346712626291E-3</v>
          </cell>
          <cell r="AB52">
            <v>7.8481655782147719E-3</v>
          </cell>
          <cell r="AC52">
            <v>-3.7167316201764944E-2</v>
          </cell>
          <cell r="AD52">
            <v>0.19760009199626172</v>
          </cell>
          <cell r="AE52">
            <v>0.58097102529626121</v>
          </cell>
          <cell r="AF52">
            <v>0.23454193191253814</v>
          </cell>
          <cell r="AG52">
            <v>0.26975864729469823</v>
          </cell>
          <cell r="AH52">
            <v>0.11461091231436282</v>
          </cell>
          <cell r="AI52">
            <v>0.2799021473439709</v>
          </cell>
          <cell r="AJ52">
            <v>0.46621627360794315</v>
          </cell>
        </row>
        <row r="53">
          <cell r="O53">
            <v>3.9749999999999997E-5</v>
          </cell>
          <cell r="P53">
            <v>7.5846709614273422E-3</v>
          </cell>
          <cell r="Q53">
            <v>1.5785121596818552E-2</v>
          </cell>
          <cell r="R53">
            <v>2.0088116944607437E-2</v>
          </cell>
          <cell r="S53">
            <v>1.5286584909069312E-2</v>
          </cell>
          <cell r="T53">
            <v>-3.6974262397991176E-2</v>
          </cell>
          <cell r="U53">
            <v>-4.1875272792626261E-2</v>
          </cell>
          <cell r="V53">
            <v>-1.1812019209289648E-3</v>
          </cell>
          <cell r="W53">
            <v>-5.2105606008353456E-2</v>
          </cell>
          <cell r="X53">
            <v>-1.0260350324813206E-2</v>
          </cell>
          <cell r="Z53">
            <v>40207</v>
          </cell>
          <cell r="AA53">
            <v>1.3794362999470788E-3</v>
          </cell>
          <cell r="AB53">
            <v>1.8978403692974544E-2</v>
          </cell>
          <cell r="AC53">
            <v>9.1240615963186222E-3</v>
          </cell>
          <cell r="AD53">
            <v>0.21760249845018365</v>
          </cell>
          <cell r="AE53">
            <v>0.51589917691411902</v>
          </cell>
          <cell r="AF53">
            <v>0.30027364750326901</v>
          </cell>
          <cell r="AG53">
            <v>0.33464468366653533</v>
          </cell>
          <cell r="AH53">
            <v>0.10103305141533814</v>
          </cell>
          <cell r="AI53">
            <v>0.46714272157904646</v>
          </cell>
          <cell r="AJ53">
            <v>0.56227482214378455</v>
          </cell>
        </row>
        <row r="54">
          <cell r="O54">
            <v>5.7500000000000002E-5</v>
          </cell>
          <cell r="P54">
            <v>1.914533472837654E-3</v>
          </cell>
          <cell r="Q54">
            <v>3.9455388589699769E-3</v>
          </cell>
          <cell r="R54">
            <v>3.7480608322701947E-3</v>
          </cell>
          <cell r="S54">
            <v>1.4149305555555269E-3</v>
          </cell>
          <cell r="T54">
            <v>2.8513693463827261E-2</v>
          </cell>
          <cell r="U54">
            <v>1.2335423477499718E-2</v>
          </cell>
          <cell r="V54">
            <v>1.2472976154498383E-3</v>
          </cell>
          <cell r="W54">
            <v>5.3385185065407459E-2</v>
          </cell>
          <cell r="X54">
            <v>4.8505682707798981E-2</v>
          </cell>
          <cell r="Z54">
            <v>40235</v>
          </cell>
          <cell r="AA54">
            <v>1.248280316694661E-3</v>
          </cell>
          <cell r="AB54">
            <v>2.1902778890045882E-2</v>
          </cell>
          <cell r="AC54">
            <v>1.8643889769493827E-2</v>
          </cell>
          <cell r="AD54">
            <v>0.24150307920510605</v>
          </cell>
          <cell r="AE54">
            <v>0.56915899291339711</v>
          </cell>
          <cell r="AF54">
            <v>0.50252350052374495</v>
          </cell>
          <cell r="AG54">
            <v>0.50940255174067062</v>
          </cell>
          <cell r="AH54">
            <v>0.10473354048398997</v>
          </cell>
          <cell r="AI54">
            <v>0.95194776787988244</v>
          </cell>
          <cell r="AJ54">
            <v>0.86962185504334633</v>
          </cell>
        </row>
        <row r="55">
          <cell r="O55">
            <v>9.549999999999999E-5</v>
          </cell>
          <cell r="P55">
            <v>-2.4494192197397346E-3</v>
          </cell>
          <cell r="Q55">
            <v>-8.5115557492840832E-3</v>
          </cell>
          <cell r="R55">
            <v>3.4687897006737689E-3</v>
          </cell>
          <cell r="S55">
            <v>3.0230663210908171E-2</v>
          </cell>
          <cell r="T55">
            <v>5.8796367554255768E-2</v>
          </cell>
          <cell r="U55">
            <v>5.9275598888251624E-2</v>
          </cell>
          <cell r="V55">
            <v>1.5559272311045147E-2</v>
          </cell>
          <cell r="W55">
            <v>0.1018443613812372</v>
          </cell>
          <cell r="X55">
            <v>7.5391404982783516E-2</v>
          </cell>
          <cell r="Z55">
            <v>40268</v>
          </cell>
          <cell r="AA55">
            <v>1.1382490454734384E-3</v>
          </cell>
          <cell r="AB55">
            <v>1.4060670510293249E-2</v>
          </cell>
          <cell r="AC55">
            <v>-1.2357533535595877E-2</v>
          </cell>
          <cell r="AD55">
            <v>0.24839451773652654</v>
          </cell>
          <cell r="AE55">
            <v>0.56947039675675026</v>
          </cell>
          <cell r="AF55">
            <v>0.46568989935703864</v>
          </cell>
          <cell r="AG55">
            <v>0.49093415464096735</v>
          </cell>
          <cell r="AH55">
            <v>0.12153164358888113</v>
          </cell>
          <cell r="AI55">
            <v>1.0667929754648031</v>
          </cell>
          <cell r="AJ55">
            <v>0.81927924896928039</v>
          </cell>
        </row>
        <row r="56">
          <cell r="O56">
            <v>1.2508333333333336E-4</v>
          </cell>
          <cell r="P56">
            <v>2.6911113851550983E-3</v>
          </cell>
          <cell r="Q56">
            <v>1.0559812676187219E-2</v>
          </cell>
          <cell r="R56">
            <v>1.7576750485216897E-2</v>
          </cell>
          <cell r="S56">
            <v>2.2734443691865058E-2</v>
          </cell>
          <cell r="T56">
            <v>1.4759327193589966E-2</v>
          </cell>
          <cell r="U56">
            <v>-1.6409419173198936E-3</v>
          </cell>
          <cell r="V56">
            <v>8.7067818642223571E-3</v>
          </cell>
          <cell r="W56">
            <v>6.9419928642181272E-2</v>
          </cell>
          <cell r="X56">
            <v>0.10345619667825146</v>
          </cell>
          <cell r="Z56">
            <v>40298</v>
          </cell>
          <cell r="AA56">
            <v>1.095874620448356E-3</v>
          </cell>
          <cell r="AB56">
            <v>1.8085408315262619E-2</v>
          </cell>
          <cell r="AC56">
            <v>1.7387572894391079E-2</v>
          </cell>
          <cell r="AD56">
            <v>0.23233463290490231</v>
          </cell>
          <cell r="AE56">
            <v>0.44206642504196858</v>
          </cell>
          <cell r="AF56">
            <v>0.35962007768013682</v>
          </cell>
          <cell r="AG56">
            <v>0.34214239322747519</v>
          </cell>
          <cell r="AH56">
            <v>0.12233774267517439</v>
          </cell>
          <cell r="AI56">
            <v>0.68697681676032296</v>
          </cell>
          <cell r="AJ56">
            <v>0.70610823536021594</v>
          </cell>
        </row>
        <row r="57">
          <cell r="O57">
            <v>1.2850000000000001E-4</v>
          </cell>
          <cell r="P57">
            <v>4.5551404304242649E-3</v>
          </cell>
          <cell r="Q57">
            <v>1.721281504137151E-2</v>
          </cell>
          <cell r="R57">
            <v>-5.7123865628512238E-3</v>
          </cell>
          <cell r="S57">
            <v>-3.5063038604718155E-2</v>
          </cell>
          <cell r="T57">
            <v>-8.1975916203894883E-2</v>
          </cell>
          <cell r="U57">
            <v>-9.9085569349886549E-2</v>
          </cell>
          <cell r="V57">
            <v>-2.299986753860217E-2</v>
          </cell>
          <cell r="W57">
            <v>-5.5453219040671131E-2</v>
          </cell>
          <cell r="X57">
            <v>-9.0206191629316201E-2</v>
          </cell>
          <cell r="Z57">
            <v>40329</v>
          </cell>
          <cell r="AA57">
            <v>1.1204823368813344E-3</v>
          </cell>
          <cell r="AB57">
            <v>2.0984298119070877E-2</v>
          </cell>
          <cell r="AC57">
            <v>4.5447625335735653E-2</v>
          </cell>
          <cell r="AD57">
            <v>0.17438493850733572</v>
          </cell>
          <cell r="AE57">
            <v>0.29909233384836043</v>
          </cell>
          <cell r="AF57">
            <v>0.18524925473812459</v>
          </cell>
          <cell r="AG57">
            <v>0.11319587628865979</v>
          </cell>
          <cell r="AH57">
            <v>6.6000124187737264E-2</v>
          </cell>
          <cell r="AI57">
            <v>0.55978711000105386</v>
          </cell>
          <cell r="AJ57">
            <v>0.40110193386314008</v>
          </cell>
        </row>
        <row r="58">
          <cell r="O58">
            <v>1.2675000000000002E-4</v>
          </cell>
          <cell r="P58">
            <v>4.3086678498649444E-3</v>
          </cell>
          <cell r="Q58">
            <v>1.8698930887457665E-2</v>
          </cell>
          <cell r="R58">
            <v>2.0577204833566176E-2</v>
          </cell>
          <cell r="S58">
            <v>1.2950750487038531E-2</v>
          </cell>
          <cell r="T58">
            <v>-5.3882376699314394E-2</v>
          </cell>
          <cell r="U58">
            <v>-3.5636228931283598E-2</v>
          </cell>
          <cell r="V58">
            <v>-1.0224874718030352E-2</v>
          </cell>
          <cell r="W58">
            <v>-5.0170125494274131E-2</v>
          </cell>
          <cell r="X58">
            <v>-7.8849319088248215E-2</v>
          </cell>
          <cell r="Z58">
            <v>40359</v>
          </cell>
          <cell r="AA58">
            <v>1.1390844803791378E-3</v>
          </cell>
          <cell r="AB58">
            <v>2.6930434887436627E-2</v>
          </cell>
          <cell r="AC58">
            <v>6.7099782585657408E-2</v>
          </cell>
          <cell r="AD58">
            <v>0.16324408146266589</v>
          </cell>
          <cell r="AE58">
            <v>0.27454756106718792</v>
          </cell>
          <cell r="AF58">
            <v>0.121165644171779</v>
          </cell>
          <cell r="AG58">
            <v>8.0151444427156271E-2</v>
          </cell>
          <cell r="AH58">
            <v>5.0271774523659385E-2</v>
          </cell>
          <cell r="AI58">
            <v>0.53897052908208365</v>
          </cell>
          <cell r="AJ58">
            <v>0.22601709175246398</v>
          </cell>
        </row>
        <row r="59">
          <cell r="O59">
            <v>1.4200000000000001E-4</v>
          </cell>
          <cell r="P59">
            <v>2.6015611172713893E-3</v>
          </cell>
          <cell r="Q59">
            <v>6.7585868587130005E-3</v>
          </cell>
          <cell r="R59">
            <v>2.0466840578057921E-2</v>
          </cell>
          <cell r="S59">
            <v>3.441223134513649E-2</v>
          </cell>
          <cell r="T59">
            <v>6.8777832756061308E-2</v>
          </cell>
          <cell r="U59">
            <v>8.0196289325087378E-2</v>
          </cell>
          <cell r="V59">
            <v>6.445471881599607E-3</v>
          </cell>
          <cell r="W59">
            <v>9.5224611828186534E-2</v>
          </cell>
          <cell r="X59">
            <v>4.9937147474163446E-2</v>
          </cell>
          <cell r="Z59">
            <v>40389</v>
          </cell>
          <cell r="AA59">
            <v>1.133161950170658E-3</v>
          </cell>
          <cell r="AB59">
            <v>2.8260438719810876E-2</v>
          </cell>
          <cell r="AC59">
            <v>7.0010515331193179E-2</v>
          </cell>
          <cell r="AD59">
            <v>0.14196950569865652</v>
          </cell>
          <cell r="AE59">
            <v>0.24239161751103144</v>
          </cell>
          <cell r="AF59">
            <v>0.11556689755741889</v>
          </cell>
          <cell r="AG59">
            <v>7.664991624790618E-2</v>
          </cell>
          <cell r="AH59">
            <v>4.1692803370966702E-2</v>
          </cell>
          <cell r="AI59">
            <v>0.52573140463268442</v>
          </cell>
          <cell r="AJ59">
            <v>0.18016125839279495</v>
          </cell>
        </row>
        <row r="60">
          <cell r="O60">
            <v>1.1666666666666668E-4</v>
          </cell>
          <cell r="P60">
            <v>1.9175118639855881E-3</v>
          </cell>
          <cell r="Q60">
            <v>2.047444636340745E-2</v>
          </cell>
          <cell r="R60">
            <v>2.1889945119560883E-2</v>
          </cell>
          <cell r="S60">
            <v>1.5622711516867227E-3</v>
          </cell>
          <cell r="T60">
            <v>-4.7449164851125603E-2</v>
          </cell>
          <cell r="U60">
            <v>-3.9232595147711158E-2</v>
          </cell>
          <cell r="V60">
            <v>1.4777954820992534E-3</v>
          </cell>
          <cell r="W60">
            <v>-1.3879902844657566E-2</v>
          </cell>
          <cell r="X60">
            <v>-8.0269726597742341E-2</v>
          </cell>
          <cell r="Z60">
            <v>40421</v>
          </cell>
          <cell r="AA60">
            <v>1.1035494249613809E-3</v>
          </cell>
          <cell r="AB60">
            <v>2.6104073157818153E-2</v>
          </cell>
          <cell r="AC60">
            <v>8.1863255420392633E-2</v>
          </cell>
          <cell r="AD60">
            <v>0.14226239347464231</v>
          </cell>
          <cell r="AE60">
            <v>0.21917156950139649</v>
          </cell>
          <cell r="AF60">
            <v>2.8129960220258043E-2</v>
          </cell>
          <cell r="AG60">
            <v>-4.513633014001428E-3</v>
          </cell>
          <cell r="AH60">
            <v>3.1414338150367094E-2</v>
          </cell>
          <cell r="AI60">
            <v>0.32689024509900122</v>
          </cell>
          <cell r="AJ60">
            <v>4.2729149697877E-2</v>
          </cell>
        </row>
        <row r="61">
          <cell r="O61">
            <v>1.0566666666666667E-4</v>
          </cell>
          <cell r="P61">
            <v>1.6468570380663294E-3</v>
          </cell>
          <cell r="Q61">
            <v>2.6363892013492318E-5</v>
          </cell>
          <cell r="R61">
            <v>5.9017786372683734E-3</v>
          </cell>
          <cell r="S61">
            <v>2.9125030465513069E-2</v>
          </cell>
          <cell r="T61">
            <v>8.7551104037814742E-2</v>
          </cell>
          <cell r="U61">
            <v>9.1135375219765002E-2</v>
          </cell>
          <cell r="V61">
            <v>1.9913805509131688E-2</v>
          </cell>
          <cell r="W61">
            <v>4.4672735608447089E-2</v>
          </cell>
          <cell r="X61">
            <v>0.11304478935053974</v>
          </cell>
          <cell r="Z61">
            <v>40451</v>
          </cell>
          <cell r="AA61">
            <v>1.1035494249616029E-3</v>
          </cell>
          <cell r="AB61">
            <v>2.5303771319202362E-2</v>
          </cell>
          <cell r="AC61">
            <v>7.345334486282562E-2</v>
          </cell>
          <cell r="AD61">
            <v>0.12644330547359339</v>
          </cell>
          <cell r="AE61">
            <v>0.18375127906813726</v>
          </cell>
          <cell r="AF61">
            <v>7.9577704620274803E-2</v>
          </cell>
          <cell r="AG61">
            <v>4.6327352748052331E-2</v>
          </cell>
          <cell r="AH61">
            <v>3.4439291617297529E-2</v>
          </cell>
          <cell r="AI61">
            <v>0.30284692914283573</v>
          </cell>
          <cell r="AJ61">
            <v>8.559029272702201E-2</v>
          </cell>
        </row>
        <row r="62">
          <cell r="O62">
            <v>1.2766666666666666E-4</v>
          </cell>
          <cell r="P62">
            <v>2.1871135306672507E-3</v>
          </cell>
          <cell r="Q62">
            <v>-1.7846419731387675E-3</v>
          </cell>
          <cell r="R62">
            <v>2.099837876308408E-3</v>
          </cell>
          <cell r="S62">
            <v>2.4037892243931269E-2</v>
          </cell>
          <cell r="T62">
            <v>3.6855941114616098E-2</v>
          </cell>
          <cell r="U62">
            <v>3.6499631102706154E-2</v>
          </cell>
          <cell r="V62">
            <v>1.387358691908358E-2</v>
          </cell>
          <cell r="W62">
            <v>4.7013309927491642E-2</v>
          </cell>
          <cell r="X62">
            <v>4.6890754601873752E-2</v>
          </cell>
          <cell r="Z62">
            <v>40480</v>
          </cell>
          <cell r="AA62">
            <v>1.1416713700440617E-3</v>
          </cell>
          <cell r="AB62">
            <v>2.535824011958776E-2</v>
          </cell>
          <cell r="AC62">
            <v>7.2153717764080083E-2</v>
          </cell>
          <cell r="AD62">
            <v>0.11966223492930594</v>
          </cell>
          <cell r="AE62">
            <v>0.19081278572346561</v>
          </cell>
          <cell r="AF62">
            <v>0.14193342919734775</v>
          </cell>
          <cell r="AG62">
            <v>0.10492058182738662</v>
          </cell>
          <cell r="AH62">
            <v>4.9207111323573915E-2</v>
          </cell>
          <cell r="AI62">
            <v>0.4284404942294826</v>
          </cell>
          <cell r="AJ62">
            <v>0.23959995686658164</v>
          </cell>
        </row>
        <row r="63">
          <cell r="O63">
            <v>9.208333333333334E-5</v>
          </cell>
          <cell r="P63">
            <v>-1.8098113085893708E-3</v>
          </cell>
          <cell r="Q63">
            <v>-6.8145987500577432E-3</v>
          </cell>
          <cell r="R63">
            <v>-8.5501473228345448E-3</v>
          </cell>
          <cell r="S63">
            <v>-1.088112858464374E-2</v>
          </cell>
          <cell r="T63">
            <v>-2.2902827780877377E-3</v>
          </cell>
          <cell r="U63">
            <v>-2.3457123454668993E-2</v>
          </cell>
          <cell r="V63">
            <v>-1.8671455939112125E-4</v>
          </cell>
          <cell r="W63">
            <v>-1.9580993775382693E-2</v>
          </cell>
          <cell r="X63">
            <v>2.8126025998030046E-2</v>
          </cell>
          <cell r="Z63">
            <v>40512</v>
          </cell>
          <cell r="AA63">
            <v>1.1966486901731077E-3</v>
          </cell>
          <cell r="AB63">
            <v>1.7292707456818546E-2</v>
          </cell>
          <cell r="AC63">
            <v>5.0023345675776154E-2</v>
          </cell>
          <cell r="AD63">
            <v>9.4597994106367711E-2</v>
          </cell>
          <cell r="AE63">
            <v>0.1662712696335078</v>
          </cell>
          <cell r="AF63">
            <v>7.7507917818971483E-2</v>
          </cell>
          <cell r="AG63">
            <v>3.8772508507323611E-2</v>
          </cell>
          <cell r="AH63">
            <v>4.070535401465758E-2</v>
          </cell>
          <cell r="AI63">
            <v>0.30994545821830166</v>
          </cell>
          <cell r="AJ63">
            <v>0.27174485268169635</v>
          </cell>
        </row>
        <row r="64">
          <cell r="O64">
            <v>1.2933333333333332E-4</v>
          </cell>
          <cell r="P64">
            <v>-1.8651260014176385E-3</v>
          </cell>
          <cell r="Q64">
            <v>-1.8246967456386209E-2</v>
          </cell>
          <cell r="R64">
            <v>-9.4836801630544532E-3</v>
          </cell>
          <cell r="S64">
            <v>1.7543654551335219E-2</v>
          </cell>
          <cell r="T64">
            <v>6.5300072000338938E-2</v>
          </cell>
          <cell r="U64">
            <v>7.2480646134253757E-2</v>
          </cell>
          <cell r="V64">
            <v>2.1734780853239322E-2</v>
          </cell>
          <cell r="W64">
            <v>4.6568891719553474E-2</v>
          </cell>
          <cell r="X64">
            <v>8.95234196121244E-2</v>
          </cell>
          <cell r="Z64">
            <v>40543</v>
          </cell>
          <cell r="AA64">
            <v>1.2872534683943115E-3</v>
          </cell>
          <cell r="AB64">
            <v>2.3485342588870139E-2</v>
          </cell>
          <cell r="AC64">
            <v>5.8802864025696122E-2</v>
          </cell>
          <cell r="AD64">
            <v>9.5199722015178123E-2</v>
          </cell>
          <cell r="AE64">
            <v>0.1506537229378091</v>
          </cell>
          <cell r="AF64">
            <v>0.1278271007084566</v>
          </cell>
          <cell r="AG64">
            <v>9.5509512439343469E-2</v>
          </cell>
          <cell r="AH64">
            <v>5.4788469433944442E-2</v>
          </cell>
          <cell r="AI64">
            <v>0.27946967084339192</v>
          </cell>
          <cell r="AJ64">
            <v>0.30079177549898728</v>
          </cell>
        </row>
        <row r="65">
          <cell r="O65">
            <v>9.9749999999999999E-5</v>
          </cell>
          <cell r="P65">
            <v>1.6699757592864017E-3</v>
          </cell>
          <cell r="Q65">
            <v>6.5457286863246367E-5</v>
          </cell>
          <cell r="R65">
            <v>2.3696429938104835E-3</v>
          </cell>
          <cell r="S65">
            <v>2.0990429650848741E-2</v>
          </cell>
          <cell r="T65">
            <v>2.2645590152984729E-2</v>
          </cell>
          <cell r="U65">
            <v>2.1881615849133285E-2</v>
          </cell>
          <cell r="V65">
            <v>2.5613937636308481E-3</v>
          </cell>
          <cell r="W65">
            <v>4.1249080571854391E-2</v>
          </cell>
          <cell r="X65">
            <v>8.4839905039428842E-3</v>
          </cell>
          <cell r="Z65">
            <v>40574</v>
          </cell>
          <cell r="AA65">
            <v>1.3473283156273386E-3</v>
          </cell>
          <cell r="AB65">
            <v>1.7477307711269319E-2</v>
          </cell>
          <cell r="AC65">
            <v>4.2417483654364929E-2</v>
          </cell>
          <cell r="AD65">
            <v>7.6176593107874391E-2</v>
          </cell>
          <cell r="AE65">
            <v>0.15711805555555536</v>
          </cell>
          <cell r="AF65">
            <v>0.19764962239377182</v>
          </cell>
          <cell r="AG65">
            <v>0.16840845347196165</v>
          </cell>
          <cell r="AH65">
            <v>5.8740784690143988E-2</v>
          </cell>
          <cell r="AI65">
            <v>0.40548000582119248</v>
          </cell>
          <cell r="AJ65">
            <v>0.32542702618859809</v>
          </cell>
        </row>
        <row r="66">
          <cell r="O66">
            <v>1.2083333333333332E-4</v>
          </cell>
          <cell r="P66">
            <v>-8.7307718881701746E-4</v>
          </cell>
          <cell r="Q66">
            <v>-8.5239369905765194E-4</v>
          </cell>
          <cell r="R66">
            <v>7.0853577327627537E-3</v>
          </cell>
          <cell r="S66">
            <v>1.3398349587396829E-2</v>
          </cell>
          <cell r="T66">
            <v>3.1956582589494076E-2</v>
          </cell>
          <cell r="U66">
            <v>3.3308360344933119E-2</v>
          </cell>
          <cell r="V66">
            <v>8.9363873758778745E-3</v>
          </cell>
          <cell r="W66">
            <v>4.5828822433734429E-2</v>
          </cell>
          <cell r="X66">
            <v>4.399677737116181E-2</v>
          </cell>
          <cell r="Z66">
            <v>40602</v>
          </cell>
          <cell r="AA66">
            <v>1.4107433333900854E-3</v>
          </cell>
          <cell r="AB66">
            <v>1.464639699362924E-2</v>
          </cell>
          <cell r="AC66">
            <v>3.7435690728059745E-2</v>
          </cell>
          <cell r="AD66">
            <v>7.9754702943108935E-2</v>
          </cell>
          <cell r="AE66">
            <v>0.17096469405268566</v>
          </cell>
          <cell r="AF66">
            <v>0.2016586840985426</v>
          </cell>
          <cell r="AG66">
            <v>0.19261481448802265</v>
          </cell>
          <cell r="AH66">
            <v>6.6871396324149623E-2</v>
          </cell>
          <cell r="AI66">
            <v>0.39539792307869503</v>
          </cell>
          <cell r="AJ66">
            <v>0.31972727168057169</v>
          </cell>
        </row>
        <row r="67">
          <cell r="O67">
            <v>1.1241666666666666E-4</v>
          </cell>
          <cell r="P67">
            <v>-4.7149646691990732E-4</v>
          </cell>
          <cell r="Q67">
            <v>-5.6849627089039512E-4</v>
          </cell>
          <cell r="R67">
            <v>2.7543186180434276E-4</v>
          </cell>
          <cell r="S67">
            <v>4.2158328768338027E-3</v>
          </cell>
          <cell r="T67">
            <v>-1.0473018791158362E-3</v>
          </cell>
          <cell r="U67">
            <v>-1.2370066215366404E-2</v>
          </cell>
          <cell r="V67">
            <v>-6.9007107654817101E-4</v>
          </cell>
          <cell r="W67">
            <v>-1.2808228596573268E-2</v>
          </cell>
          <cell r="X67">
            <v>1.7074792434174535E-2</v>
          </cell>
          <cell r="Z67">
            <v>40633</v>
          </cell>
          <cell r="AA67">
            <v>1.4276822474654782E-3</v>
          </cell>
          <cell r="AB67">
            <v>1.665821697884784E-2</v>
          </cell>
          <cell r="AC67">
            <v>4.5746844977254675E-2</v>
          </cell>
          <cell r="AD67">
            <v>7.6318578989788666E-2</v>
          </cell>
          <cell r="AE67">
            <v>0.1413961237016248</v>
          </cell>
          <cell r="AF67">
            <v>0.13374036923971477</v>
          </cell>
          <cell r="AG67">
            <v>0.11195055517146613</v>
          </cell>
          <cell r="AH67">
            <v>4.980103899303856E-2</v>
          </cell>
          <cell r="AI67">
            <v>0.25019957062710474</v>
          </cell>
          <cell r="AJ67">
            <v>0.24816074844463376</v>
          </cell>
        </row>
        <row r="68">
          <cell r="O68">
            <v>7.6083333333333344E-5</v>
          </cell>
          <cell r="P68">
            <v>4.3622765063331403E-3</v>
          </cell>
          <cell r="Q68">
            <v>1.1536114396787589E-2</v>
          </cell>
          <cell r="R68">
            <v>1.6980447803723875E-2</v>
          </cell>
          <cell r="S68">
            <v>1.5167096063189556E-2</v>
          </cell>
          <cell r="T68">
            <v>2.8495357625034856E-2</v>
          </cell>
          <cell r="U68">
            <v>4.0219337343530892E-2</v>
          </cell>
          <cell r="V68">
            <v>1.1135294881996716E-2</v>
          </cell>
          <cell r="W68">
            <v>5.1135413904000782E-2</v>
          </cell>
          <cell r="X68">
            <v>1.2353133681004547E-2</v>
          </cell>
          <cell r="Z68">
            <v>40662</v>
          </cell>
          <cell r="AA68">
            <v>1.3786184281010527E-3</v>
          </cell>
          <cell r="AB68">
            <v>1.8352660794179076E-2</v>
          </cell>
          <cell r="AC68">
            <v>4.6757140885776316E-2</v>
          </cell>
          <cell r="AD68">
            <v>7.568785344059914E-2</v>
          </cell>
          <cell r="AE68">
            <v>0.13295078258365645</v>
          </cell>
          <cell r="AF68">
            <v>0.14908695615535628</v>
          </cell>
          <cell r="AG68">
            <v>0.1585736216793483</v>
          </cell>
          <cell r="AH68">
            <v>5.2328488530510864E-2</v>
          </cell>
          <cell r="AI68">
            <v>0.22882415778640497</v>
          </cell>
          <cell r="AJ68">
            <v>0.14511065217570196</v>
          </cell>
        </row>
        <row r="69">
          <cell r="O69">
            <v>2.9583333333333332E-5</v>
          </cell>
          <cell r="P69">
            <v>3.5685977709907224E-3</v>
          </cell>
          <cell r="Q69">
            <v>1.580042632997225E-2</v>
          </cell>
          <cell r="R69">
            <v>1.4315761866553922E-2</v>
          </cell>
          <cell r="S69">
            <v>4.8978673037403109E-3</v>
          </cell>
          <cell r="T69">
            <v>-1.350092768460176E-2</v>
          </cell>
          <cell r="U69">
            <v>-2.4491941639901427E-2</v>
          </cell>
          <cell r="V69">
            <v>-9.876820707390932E-3</v>
          </cell>
          <cell r="W69">
            <v>9.9918369077782732E-3</v>
          </cell>
          <cell r="X69">
            <v>-2.4421224527524266E-2</v>
          </cell>
          <cell r="Z69">
            <v>40694</v>
          </cell>
          <cell r="AA69">
            <v>1.2795781197745271E-3</v>
          </cell>
          <cell r="AB69">
            <v>1.7352568015010617E-2</v>
          </cell>
          <cell r="AC69">
            <v>4.5303730205629389E-2</v>
          </cell>
          <cell r="AD69">
            <v>9.7355664344871418E-2</v>
          </cell>
          <cell r="AE69">
            <v>0.17986963991116034</v>
          </cell>
          <cell r="AF69">
            <v>0.23479681662551322</v>
          </cell>
          <cell r="AG69">
            <v>0.25450083348768304</v>
          </cell>
          <cell r="AH69">
            <v>6.6463344379518619E-2</v>
          </cell>
          <cell r="AI69">
            <v>0.31396601351901188</v>
          </cell>
          <cell r="AJ69">
            <v>0.22791080523037932</v>
          </cell>
        </row>
        <row r="70">
          <cell r="O70">
            <v>3.8000000000000002E-5</v>
          </cell>
          <cell r="P70">
            <v>3.6726852945512256E-4</v>
          </cell>
          <cell r="Q70">
            <v>-3.0700172161463035E-3</v>
          </cell>
          <cell r="R70">
            <v>-8.3275977528927125E-3</v>
          </cell>
          <cell r="S70">
            <v>-1.0040646734712277E-2</v>
          </cell>
          <cell r="T70">
            <v>-1.8257508177222714E-2</v>
          </cell>
          <cell r="U70">
            <v>-1.7296491241021283E-2</v>
          </cell>
          <cell r="V70">
            <v>-1.2971422260582011E-2</v>
          </cell>
          <cell r="W70">
            <v>-3.070972346868639E-2</v>
          </cell>
          <cell r="X70">
            <v>-2.0698333189894669E-2</v>
          </cell>
          <cell r="Z70">
            <v>40724</v>
          </cell>
          <cell r="AA70">
            <v>1.1907258192453973E-3</v>
          </cell>
          <cell r="AB70">
            <v>1.3359978038886666E-2</v>
          </cell>
          <cell r="AC70">
            <v>2.2966254465347058E-2</v>
          </cell>
          <cell r="AD70">
            <v>6.6276341100341973E-2</v>
          </cell>
          <cell r="AE70">
            <v>0.15308960983759667</v>
          </cell>
          <cell r="AF70">
            <v>0.28129153690174724</v>
          </cell>
          <cell r="AG70">
            <v>0.27835823762148038</v>
          </cell>
          <cell r="AH70">
            <v>6.3503993105771261E-2</v>
          </cell>
          <cell r="AI70">
            <v>0.34088694700127942</v>
          </cell>
          <cell r="AJ70">
            <v>0.30542713931017618</v>
          </cell>
        </row>
        <row r="71">
          <cell r="O71">
            <v>8.4999999999999999E-6</v>
          </cell>
          <cell r="P71">
            <v>2.7508293924383143E-3</v>
          </cell>
          <cell r="Q71">
            <v>1.8257653261981588E-2</v>
          </cell>
          <cell r="R71">
            <v>2.2943491715722963E-2</v>
          </cell>
          <cell r="S71">
            <v>1.2332296821851552E-2</v>
          </cell>
          <cell r="T71">
            <v>-2.1474436636782279E-2</v>
          </cell>
          <cell r="U71">
            <v>-1.8877987950540187E-2</v>
          </cell>
          <cell r="V71">
            <v>3.4010100506687291E-3</v>
          </cell>
          <cell r="W71">
            <v>1.0523716806109418E-2</v>
          </cell>
          <cell r="X71">
            <v>-2.6546612919654322E-2</v>
          </cell>
          <cell r="Z71">
            <v>40753</v>
          </cell>
          <cell r="AA71">
            <v>1.0570858342262568E-3</v>
          </cell>
          <cell r="AB71">
            <v>1.3510848037409984E-2</v>
          </cell>
          <cell r="AC71">
            <v>3.4650442752336419E-2</v>
          </cell>
          <cell r="AD71">
            <v>6.8864170913366829E-2</v>
          </cell>
          <cell r="AE71">
            <v>0.12847646015394854</v>
          </cell>
          <cell r="AF71">
            <v>0.17309368191721064</v>
          </cell>
          <cell r="AG71">
            <v>0.16110878977267684</v>
          </cell>
          <cell r="AH71">
            <v>6.0286931273300537E-2</v>
          </cell>
          <cell r="AI71">
            <v>0.23718737404806878</v>
          </cell>
          <cell r="AJ71">
            <v>0.21033194549330703</v>
          </cell>
        </row>
        <row r="72">
          <cell r="O72">
            <v>7.6249999999999997E-5</v>
          </cell>
          <cell r="P72">
            <v>3.5661791496266471E-3</v>
          </cell>
          <cell r="Q72">
            <v>2.8018603468612291E-2</v>
          </cell>
          <cell r="R72">
            <v>1.0287264055361955E-3</v>
          </cell>
          <cell r="S72">
            <v>-4.0111762054979683E-2</v>
          </cell>
          <cell r="T72">
            <v>-5.6791097904478782E-2</v>
          </cell>
          <cell r="U72">
            <v>-7.2608246238658469E-2</v>
          </cell>
          <cell r="V72">
            <v>-2.4465804041879369E-2</v>
          </cell>
          <cell r="W72">
            <v>-5.5963847416723445E-2</v>
          </cell>
          <cell r="X72">
            <v>-0.10487776192453468</v>
          </cell>
          <cell r="Z72">
            <v>40786</v>
          </cell>
          <cell r="AA72">
            <v>1.0166311633850178E-3</v>
          </cell>
          <cell r="AB72">
            <v>1.517859229680818E-2</v>
          </cell>
          <cell r="AC72">
            <v>4.2299400074990778E-2</v>
          </cell>
          <cell r="AD72">
            <v>4.7044003926207667E-2</v>
          </cell>
          <cell r="AE72">
            <v>8.1521650824599945E-2</v>
          </cell>
          <cell r="AF72">
            <v>0.1615888233444196</v>
          </cell>
          <cell r="AG72">
            <v>0.12077357268437128</v>
          </cell>
          <cell r="AH72">
            <v>3.2819862458039362E-2</v>
          </cell>
          <cell r="AI72">
            <v>0.18438881023733944</v>
          </cell>
          <cell r="AJ72">
            <v>0.17794865646480917</v>
          </cell>
        </row>
        <row r="73">
          <cell r="O73">
            <v>8.4999999999999999E-6</v>
          </cell>
          <cell r="P73">
            <v>-1.4469050488485902E-3</v>
          </cell>
          <cell r="Q73">
            <v>1.602373136677393E-2</v>
          </cell>
          <cell r="R73">
            <v>-1.3367943131972204E-3</v>
          </cell>
          <cell r="S73">
            <v>-3.6030182272985156E-2</v>
          </cell>
          <cell r="T73">
            <v>-7.1762012979021961E-2</v>
          </cell>
          <cell r="U73">
            <v>-8.8472779511566957E-2</v>
          </cell>
          <cell r="V73">
            <v>-2.2738241229829148E-2</v>
          </cell>
          <cell r="W73">
            <v>-0.10973479254381435</v>
          </cell>
          <cell r="X73">
            <v>-0.10659011860035972</v>
          </cell>
          <cell r="Z73">
            <v>40816</v>
          </cell>
          <cell r="AA73">
            <v>9.1937599068736553E-4</v>
          </cell>
          <cell r="AB73">
            <v>1.2043035070998576E-2</v>
          </cell>
          <cell r="AC73">
            <v>5.8973007015539869E-2</v>
          </cell>
          <cell r="AD73">
            <v>3.9509367279043639E-2</v>
          </cell>
          <cell r="AE73">
            <v>1.3049141503848505E-2</v>
          </cell>
          <cell r="AF73">
            <v>-8.5699263932706993E-3</v>
          </cell>
          <cell r="AG73">
            <v>-6.3713226876076057E-2</v>
          </cell>
          <cell r="AH73">
            <v>-1.0371906109596485E-2</v>
          </cell>
          <cell r="AI73">
            <v>9.330591211998529E-3</v>
          </cell>
          <cell r="AJ73">
            <v>-5.4493602111771566E-2</v>
          </cell>
        </row>
        <row r="74">
          <cell r="O74">
            <v>1.6916666666666667E-5</v>
          </cell>
          <cell r="P74">
            <v>9.1338535195917281E-4</v>
          </cell>
          <cell r="Q74">
            <v>-7.5950680119218905E-3</v>
          </cell>
          <cell r="R74">
            <v>1.7542829864128473E-2</v>
          </cell>
          <cell r="S74">
            <v>5.9577800635870481E-2</v>
          </cell>
          <cell r="T74">
            <v>0.10772303830584562</v>
          </cell>
          <cell r="U74">
            <v>0.10256688948064419</v>
          </cell>
          <cell r="V74">
            <v>7.5684685760968318E-3</v>
          </cell>
          <cell r="W74">
            <v>0.14277207674966585</v>
          </cell>
          <cell r="X74">
            <v>0.10173362751295212</v>
          </cell>
          <cell r="Z74">
            <v>40847</v>
          </cell>
          <cell r="AA74">
            <v>8.0853832007266035E-4</v>
          </cell>
          <cell r="AB74">
            <v>1.0756780523887066E-2</v>
          </cell>
          <cell r="AC74">
            <v>5.2808921996357228E-2</v>
          </cell>
          <cell r="AD74">
            <v>5.5528863763719682E-2</v>
          </cell>
          <cell r="AE74">
            <v>4.8207678075855576E-2</v>
          </cell>
          <cell r="AF74">
            <v>5.9192400655814881E-2</v>
          </cell>
          <cell r="AG74">
            <v>-4.0336106952048034E-3</v>
          </cell>
          <cell r="AH74">
            <v>-1.6526245593362576E-2</v>
          </cell>
          <cell r="AI74">
            <v>0.10164293510861122</v>
          </cell>
          <cell r="AJ74">
            <v>-4.9618940629068131E-3</v>
          </cell>
        </row>
        <row r="75">
          <cell r="O75">
            <v>-1.2666666666666667E-5</v>
          </cell>
          <cell r="P75">
            <v>4.9703066262773987E-4</v>
          </cell>
          <cell r="Q75">
            <v>7.3033899686918424E-3</v>
          </cell>
          <cell r="R75">
            <v>-1.8661798227784909E-2</v>
          </cell>
          <cell r="S75">
            <v>-2.211828040022501E-2</v>
          </cell>
          <cell r="T75">
            <v>-5.0586451767333784E-3</v>
          </cell>
          <cell r="U75">
            <v>-2.6862728990388551E-2</v>
          </cell>
          <cell r="V75">
            <v>-8.4087184938023141E-3</v>
          </cell>
          <cell r="W75">
            <v>-3.7587239953806861E-2</v>
          </cell>
          <cell r="X75">
            <v>-1.362504461307501E-2</v>
          </cell>
          <cell r="Z75">
            <v>40877</v>
          </cell>
          <cell r="AA75">
            <v>7.0371327832274844E-4</v>
          </cell>
          <cell r="AB75">
            <v>1.3092664196578063E-2</v>
          </cell>
          <cell r="AC75">
            <v>6.7774450552291921E-2</v>
          </cell>
          <cell r="AD75">
            <v>4.47636804701248E-2</v>
          </cell>
          <cell r="AE75">
            <v>3.629923192929474E-2</v>
          </cell>
          <cell r="AF75">
            <v>5.6253441192664067E-2</v>
          </cell>
          <cell r="AG75">
            <v>-7.5069539863940049E-3</v>
          </cell>
          <cell r="AH75">
            <v>-2.4613880750718908E-2</v>
          </cell>
          <cell r="AI75">
            <v>8.1410306238355767E-2</v>
          </cell>
          <cell r="AJ75">
            <v>-4.5369300520098466E-2</v>
          </cell>
        </row>
        <row r="76">
          <cell r="O76">
            <v>0</v>
          </cell>
          <cell r="P76">
            <v>5.4194590458922498E-4</v>
          </cell>
          <cell r="Q76">
            <v>9.4564904591136756E-3</v>
          </cell>
          <cell r="R76">
            <v>1.9262377331161318E-2</v>
          </cell>
          <cell r="S76">
            <v>2.4814614262292478E-2</v>
          </cell>
          <cell r="T76">
            <v>8.5327516520175006E-3</v>
          </cell>
          <cell r="U76">
            <v>-1.6967752827958815E-3</v>
          </cell>
          <cell r="V76">
            <v>-4.9091743503163476E-3</v>
          </cell>
          <cell r="W76">
            <v>4.7949795257771211E-2</v>
          </cell>
          <cell r="X76">
            <v>1.1980569576602651E-2</v>
          </cell>
          <cell r="Z76">
            <v>40907</v>
          </cell>
          <cell r="AA76">
            <v>5.7430566812266548E-4</v>
          </cell>
          <cell r="AB76">
            <v>1.5535807857514516E-2</v>
          </cell>
          <cell r="AC76">
            <v>9.7905291582118581E-2</v>
          </cell>
          <cell r="AD76">
            <v>7.5084066136871463E-2</v>
          </cell>
          <cell r="AE76">
            <v>4.3704211489780098E-2</v>
          </cell>
          <cell r="AF76">
            <v>-3.1805604147505662E-5</v>
          </cell>
          <cell r="AG76">
            <v>-7.615208543282781E-2</v>
          </cell>
          <cell r="AH76">
            <v>-5.004919386176454E-2</v>
          </cell>
          <cell r="AI76">
            <v>8.2837181554414441E-2</v>
          </cell>
          <cell r="AJ76">
            <v>-0.1133116538799086</v>
          </cell>
        </row>
        <row r="77">
          <cell r="O77">
            <v>8.4999999999999999E-6</v>
          </cell>
          <cell r="P77">
            <v>1.1337527303880712E-3</v>
          </cell>
          <cell r="Q77">
            <v>4.5092027482835917E-3</v>
          </cell>
          <cell r="R77">
            <v>2.1826999715695683E-2</v>
          </cell>
          <cell r="S77">
            <v>2.9016882483093642E-2</v>
          </cell>
          <cell r="T77">
            <v>4.3583015267175673E-2</v>
          </cell>
          <cell r="U77">
            <v>4.9298573470095475E-2</v>
          </cell>
          <cell r="V77">
            <v>1.57456894257475E-2</v>
          </cell>
          <cell r="W77">
            <v>6.3582868591569586E-2</v>
          </cell>
          <cell r="X77">
            <v>9.6205690679189937E-2</v>
          </cell>
          <cell r="Z77">
            <v>40939</v>
          </cell>
          <cell r="AA77">
            <v>4.830123692374233E-4</v>
          </cell>
          <cell r="AB77">
            <v>1.4992162045997182E-2</v>
          </cell>
          <cell r="AC77">
            <v>0.10278378390578391</v>
          </cell>
          <cell r="AD77">
            <v>9.5952908611352417E-2</v>
          </cell>
          <cell r="AE77">
            <v>5.1909227306826233E-2</v>
          </cell>
          <cell r="AF77">
            <v>2.0441327403352805E-2</v>
          </cell>
          <cell r="AG77">
            <v>-5.1365359916824338E-2</v>
          </cell>
          <cell r="AH77">
            <v>-3.7556759612351387E-2</v>
          </cell>
          <cell r="AI77">
            <v>0.10606299420955811</v>
          </cell>
          <cell r="AJ77">
            <v>-3.6184193276032506E-2</v>
          </cell>
        </row>
        <row r="78">
          <cell r="O78">
            <v>4.233333333333333E-5</v>
          </cell>
          <cell r="P78">
            <v>-1.4082925712344263E-3</v>
          </cell>
          <cell r="Q78">
            <v>-7.0922856725732508E-3</v>
          </cell>
          <cell r="R78">
            <v>8.4889216750143603E-3</v>
          </cell>
          <cell r="S78">
            <v>2.2814230545679992E-2</v>
          </cell>
          <cell r="T78">
            <v>4.0589449943234213E-2</v>
          </cell>
          <cell r="U78">
            <v>4.660364738212075E-2</v>
          </cell>
          <cell r="V78">
            <v>1.3200955980328555E-2</v>
          </cell>
          <cell r="W78">
            <v>-9.1098212985499805E-3</v>
          </cell>
          <cell r="X78">
            <v>2.7415007149138804E-2</v>
          </cell>
          <cell r="Z78">
            <v>40968</v>
          </cell>
          <cell r="AA78">
            <v>4.0448394161773926E-4</v>
          </cell>
          <cell r="AB78">
            <v>1.4448447923439689E-2</v>
          </cell>
          <cell r="AC78">
            <v>9.5896661684480744E-2</v>
          </cell>
          <cell r="AD78">
            <v>9.7480326295584785E-2</v>
          </cell>
          <cell r="AE78">
            <v>6.1682927912588337E-2</v>
          </cell>
          <cell r="AF78">
            <v>2.8977863504166645E-2</v>
          </cell>
          <cell r="AG78">
            <v>-3.9159545740391599E-2</v>
          </cell>
          <cell r="AH78">
            <v>-3.3488708070273265E-2</v>
          </cell>
          <cell r="AI78">
            <v>4.7960177112840396E-2</v>
          </cell>
          <cell r="AJ78">
            <v>-5.149245149086501E-2</v>
          </cell>
        </row>
        <row r="79">
          <cell r="O79">
            <v>6.3583333333333338E-5</v>
          </cell>
          <cell r="P79">
            <v>-5.6304910567261945E-4</v>
          </cell>
          <cell r="Q79">
            <v>-1.0322779235163448E-2</v>
          </cell>
          <cell r="R79">
            <v>-5.9038567229331429E-3</v>
          </cell>
          <cell r="S79">
            <v>-8.3322583906531023E-4</v>
          </cell>
          <cell r="T79">
            <v>3.1332376545017748E-2</v>
          </cell>
          <cell r="U79">
            <v>1.0233152642601828E-2</v>
          </cell>
          <cell r="V79">
            <v>1.3742676150236832E-3</v>
          </cell>
          <cell r="W79">
            <v>4.8408497809204754E-2</v>
          </cell>
          <cell r="X79">
            <v>4.9448639723415511E-2</v>
          </cell>
          <cell r="Z79">
            <v>40998</v>
          </cell>
          <cell r="AA79">
            <v>3.5563634726898385E-4</v>
          </cell>
          <cell r="AB79">
            <v>1.4355528680058738E-2</v>
          </cell>
          <cell r="AC79">
            <v>8.5200895043358482E-2</v>
          </cell>
          <cell r="AD79">
            <v>9.0700546010839211E-2</v>
          </cell>
          <cell r="AE79">
            <v>5.6344932568159756E-2</v>
          </cell>
          <cell r="AF79">
            <v>6.2330766387847403E-2</v>
          </cell>
          <cell r="AG79">
            <v>-1.7169439596083746E-2</v>
          </cell>
          <cell r="AH79">
            <v>-3.1492123629326962E-2</v>
          </cell>
          <cell r="AI79">
            <v>0.11294521173814509</v>
          </cell>
          <cell r="AJ79">
            <v>-2.1301123619454465E-2</v>
          </cell>
        </row>
        <row r="80">
          <cell r="O80">
            <v>5.5083333333333335E-5</v>
          </cell>
          <cell r="P80">
            <v>2.1055372884719592E-3</v>
          </cell>
          <cell r="Q80">
            <v>1.5254117264811518E-2</v>
          </cell>
          <cell r="R80">
            <v>1.2762760781581672E-2</v>
          </cell>
          <cell r="S80">
            <v>1.0045429486597923E-2</v>
          </cell>
          <cell r="T80">
            <v>-7.497497284287169E-3</v>
          </cell>
          <cell r="U80">
            <v>-1.3734651412717902E-2</v>
          </cell>
          <cell r="V80">
            <v>-2.8145952957865372E-3</v>
          </cell>
          <cell r="W80">
            <v>2.6729759686483945E-2</v>
          </cell>
          <cell r="X80">
            <v>-1.4314083310381864E-2</v>
          </cell>
          <cell r="Z80">
            <v>41029</v>
          </cell>
          <cell r="AA80">
            <v>3.3463047710258209E-4</v>
          </cell>
          <cell r="AB80">
            <v>1.20763352495874E-2</v>
          </cell>
          <cell r="AC80">
            <v>8.9189660231993928E-2</v>
          </cell>
          <cell r="AD80">
            <v>8.6177122234218695E-2</v>
          </cell>
          <cell r="AE80">
            <v>5.1015517779729791E-2</v>
          </cell>
          <cell r="AF80">
            <v>2.5153819640512776E-2</v>
          </cell>
          <cell r="AG80">
            <v>-6.8146793219167279E-2</v>
          </cell>
          <cell r="AH80">
            <v>-4.4853914657762672E-2</v>
          </cell>
          <cell r="AI80">
            <v>8.7104434573345824E-2</v>
          </cell>
          <cell r="AJ80">
            <v>-4.708182645658332E-2</v>
          </cell>
        </row>
        <row r="81">
          <cell r="O81">
            <v>7.6249999999999997E-5</v>
          </cell>
          <cell r="P81">
            <v>4.1102973999040948E-4</v>
          </cell>
          <cell r="Q81">
            <v>1.832573151801542E-2</v>
          </cell>
          <cell r="R81">
            <v>5.78677566505581E-3</v>
          </cell>
          <cell r="S81">
            <v>-1.2329131502675339E-2</v>
          </cell>
          <cell r="T81">
            <v>-6.2650671359386623E-2</v>
          </cell>
          <cell r="U81">
            <v>-8.9915687138231282E-2</v>
          </cell>
          <cell r="V81">
            <v>-1.1900829122259204E-2</v>
          </cell>
          <cell r="W81">
            <v>-4.4107221047108736E-2</v>
          </cell>
          <cell r="X81">
            <v>-6.1235240259554846E-2</v>
          </cell>
          <cell r="Z81">
            <v>41060</v>
          </cell>
          <cell r="AA81">
            <v>3.813113788813105E-4</v>
          </cell>
          <cell r="AB81">
            <v>8.8919989837716873E-3</v>
          </cell>
          <cell r="AC81">
            <v>9.1897412885420193E-2</v>
          </cell>
          <cell r="AD81">
            <v>7.7043881840842543E-2</v>
          </cell>
          <cell r="AE81">
            <v>3.2997922500225929E-2</v>
          </cell>
          <cell r="AF81">
            <v>-2.592179601546285E-2</v>
          </cell>
          <cell r="AG81">
            <v>-0.13064276802917441</v>
          </cell>
          <cell r="AH81">
            <v>-4.6806422946218507E-2</v>
          </cell>
          <cell r="AI81">
            <v>2.8874928492329754E-2</v>
          </cell>
          <cell r="AJ81">
            <v>-8.3040731584644645E-2</v>
          </cell>
        </row>
        <row r="82">
          <cell r="O82">
            <v>5.4916666666666669E-5</v>
          </cell>
          <cell r="P82">
            <v>-5.7785592479031589E-4</v>
          </cell>
          <cell r="Q82">
            <v>-3.773916862357507E-3</v>
          </cell>
          <cell r="R82">
            <v>4.9900927854147348E-3</v>
          </cell>
          <cell r="S82">
            <v>2.033871035437973E-2</v>
          </cell>
          <cell r="T82">
            <v>3.9554921279372435E-2</v>
          </cell>
          <cell r="U82">
            <v>4.9318976936924663E-2</v>
          </cell>
          <cell r="V82">
            <v>-4.0606946280623557E-3</v>
          </cell>
          <cell r="W82">
            <v>5.9659009757152548E-2</v>
          </cell>
          <cell r="X82">
            <v>5.744633278195832E-2</v>
          </cell>
          <cell r="Z82">
            <v>41089</v>
          </cell>
          <cell r="AA82">
            <v>3.9823385301174241E-4</v>
          </cell>
          <cell r="AB82">
            <v>7.9388205562787029E-3</v>
          </cell>
          <cell r="AC82">
            <v>9.1126459843680729E-2</v>
          </cell>
          <cell r="AD82">
            <v>9.1508070903713268E-2</v>
          </cell>
          <cell r="AE82">
            <v>6.4698024788683028E-2</v>
          </cell>
          <cell r="AF82">
            <v>3.1439302156529791E-2</v>
          </cell>
          <cell r="AG82">
            <v>-7.1710812962935133E-2</v>
          </cell>
          <cell r="AH82">
            <v>-3.8201151996874572E-2</v>
          </cell>
          <cell r="AI82">
            <v>0.1247988495166974</v>
          </cell>
          <cell r="AJ82">
            <v>-9.8707593803522009E-3</v>
          </cell>
        </row>
        <row r="83">
          <cell r="O83">
            <v>6.7583333333333341E-5</v>
          </cell>
          <cell r="P83">
            <v>2.3879071642518568E-3</v>
          </cell>
          <cell r="Q83">
            <v>1.0669684654837752E-2</v>
          </cell>
          <cell r="R83">
            <v>2.8072055289132924E-2</v>
          </cell>
          <cell r="S83">
            <v>1.916201327972078E-2</v>
          </cell>
          <cell r="T83">
            <v>1.2597639043871345E-2</v>
          </cell>
          <cell r="U83">
            <v>1.2017285469200001E-2</v>
          </cell>
          <cell r="V83">
            <v>9.0257066089889371E-3</v>
          </cell>
          <cell r="W83">
            <v>2.1699615474225942E-2</v>
          </cell>
          <cell r="X83">
            <v>-8.3774840458926692E-3</v>
          </cell>
          <cell r="Z83">
            <v>41121</v>
          </cell>
          <cell r="AA83">
            <v>4.5734021292442861E-4</v>
          </cell>
          <cell r="AB83">
            <v>7.5740206559349321E-3</v>
          </cell>
          <cell r="AC83">
            <v>8.2995479146216855E-2</v>
          </cell>
          <cell r="AD83">
            <v>9.6980385433160343E-2</v>
          </cell>
          <cell r="AE83">
            <v>7.1881027489860028E-2</v>
          </cell>
          <cell r="AF83">
            <v>6.7353824248614247E-2</v>
          </cell>
          <cell r="AG83">
            <v>-4.2479231269859752E-2</v>
          </cell>
          <cell r="AH83">
            <v>-3.2809661838930304E-2</v>
          </cell>
          <cell r="AI83">
            <v>0.13723857532931283</v>
          </cell>
          <cell r="AJ83">
            <v>8.6096178141368274E-3</v>
          </cell>
        </row>
        <row r="84">
          <cell r="O84">
            <v>8.0249999999999999E-5</v>
          </cell>
          <cell r="P84">
            <v>8.7315677926858015E-5</v>
          </cell>
          <cell r="Q84">
            <v>-1.3478922593235243E-3</v>
          </cell>
          <cell r="R84">
            <v>3.9976848030722767E-3</v>
          </cell>
          <cell r="S84">
            <v>1.206136294073934E-2</v>
          </cell>
          <cell r="T84">
            <v>1.9763361656468303E-2</v>
          </cell>
          <cell r="U84">
            <v>2.2901556890058128E-2</v>
          </cell>
          <cell r="V84">
            <v>6.6002649942331626E-3</v>
          </cell>
          <cell r="W84">
            <v>1.1967347046468735E-3</v>
          </cell>
          <cell r="X84">
            <v>2.7077732798619802E-2</v>
          </cell>
          <cell r="Z84">
            <v>41152</v>
          </cell>
          <cell r="AA84">
            <v>4.6134173716882998E-4</v>
          </cell>
          <cell r="AB84">
            <v>4.0812639964153963E-3</v>
          </cell>
          <cell r="AC84">
            <v>5.2058507768059981E-2</v>
          </cell>
          <cell r="AD84">
            <v>0.10023392755573202</v>
          </cell>
          <cell r="AE84">
            <v>0.13014133386416415</v>
          </cell>
          <cell r="AF84">
            <v>0.15398436282191086</v>
          </cell>
          <cell r="AG84">
            <v>5.6133485246280257E-2</v>
          </cell>
          <cell r="AH84">
            <v>-2.0093045158717793E-3</v>
          </cell>
          <cell r="AI84">
            <v>0.2060973990076429</v>
          </cell>
          <cell r="AJ84">
            <v>0.1572949877445573</v>
          </cell>
        </row>
        <row r="85">
          <cell r="O85">
            <v>5.9166666666666664E-5</v>
          </cell>
          <cell r="P85">
            <v>8.554425548279454E-5</v>
          </cell>
          <cell r="Q85">
            <v>-3.4400613881659936E-3</v>
          </cell>
          <cell r="R85">
            <v>7.3862068362684496E-3</v>
          </cell>
          <cell r="S85">
            <v>1.4240658825719121E-2</v>
          </cell>
          <cell r="T85">
            <v>2.4236090375236552E-2</v>
          </cell>
          <cell r="U85">
            <v>2.5242141634289839E-2</v>
          </cell>
          <cell r="V85">
            <v>6.5387650685306831E-3</v>
          </cell>
          <cell r="W85">
            <v>-1.2332339756289779E-2</v>
          </cell>
          <cell r="X85">
            <v>4.7865263763851917E-2</v>
          </cell>
          <cell r="Z85">
            <v>41180</v>
          </cell>
          <cell r="AA85">
            <v>5.1203134762167757E-4</v>
          </cell>
          <cell r="AB85">
            <v>5.6221972149728128E-3</v>
          </cell>
          <cell r="AC85">
            <v>3.1904402968044421E-2</v>
          </cell>
          <cell r="AD85">
            <v>0.1098441162160313</v>
          </cell>
          <cell r="AE85">
            <v>0.18907798765662998</v>
          </cell>
          <cell r="AF85">
            <v>0.27332909087695079</v>
          </cell>
          <cell r="AG85">
            <v>0.1878883394018438</v>
          </cell>
          <cell r="AH85">
            <v>2.7888703479614474E-2</v>
          </cell>
          <cell r="AI85">
            <v>0.33805453265737073</v>
          </cell>
          <cell r="AJ85">
            <v>0.35737161949194296</v>
          </cell>
        </row>
        <row r="86">
          <cell r="O86">
            <v>7.6083333333333344E-5</v>
          </cell>
          <cell r="P86">
            <v>-5.555491868257656E-4</v>
          </cell>
          <cell r="Q86">
            <v>-1.7316643948622756E-3</v>
          </cell>
          <cell r="R86">
            <v>1.3162983493898883E-2</v>
          </cell>
          <cell r="S86">
            <v>8.2474834853727419E-3</v>
          </cell>
          <cell r="T86">
            <v>-1.9789403541407791E-2</v>
          </cell>
          <cell r="U86">
            <v>-7.6096073198628211E-3</v>
          </cell>
          <cell r="V86">
            <v>-2.0813062460760534E-3</v>
          </cell>
          <cell r="W86">
            <v>-2.5119402928182044E-3</v>
          </cell>
          <cell r="X86">
            <v>-2.9301181310135926E-2</v>
          </cell>
          <cell r="Z86">
            <v>41213</v>
          </cell>
          <cell r="AA86">
            <v>5.7122730807823707E-4</v>
          </cell>
          <cell r="AB86">
            <v>4.1463520518685293E-3</v>
          </cell>
          <cell r="AC86">
            <v>3.8001180416239455E-2</v>
          </cell>
          <cell r="AD86">
            <v>0.10506697408376486</v>
          </cell>
          <cell r="AE86">
            <v>0.13147414753610054</v>
          </cell>
          <cell r="AF86">
            <v>0.12675337110029505</v>
          </cell>
          <cell r="AG86">
            <v>6.9185903228456302E-2</v>
          </cell>
          <cell r="AH86">
            <v>1.8044315886927009E-2</v>
          </cell>
          <cell r="AI86">
            <v>0.16794367548689837</v>
          </cell>
          <cell r="AJ86">
            <v>0.19593247828725846</v>
          </cell>
        </row>
        <row r="87">
          <cell r="O87">
            <v>8.8750000000000002E-5</v>
          </cell>
          <cell r="P87">
            <v>8.9025510352636061E-4</v>
          </cell>
          <cell r="Q87">
            <v>5.7531373731054547E-3</v>
          </cell>
          <cell r="R87">
            <v>-8.2135255640869431E-4</v>
          </cell>
          <cell r="S87">
            <v>7.4227903061738765E-3</v>
          </cell>
          <cell r="T87">
            <v>2.8467029231815655E-3</v>
          </cell>
          <cell r="U87">
            <v>1.0733603786342139E-2</v>
          </cell>
          <cell r="V87">
            <v>4.5185292148639533E-3</v>
          </cell>
          <cell r="W87">
            <v>-2.7179312769405328E-3</v>
          </cell>
          <cell r="X87">
            <v>-5.83134684303932E-3</v>
          </cell>
          <cell r="Z87">
            <v>41243</v>
          </cell>
          <cell r="AA87">
            <v>6.7270319207524132E-4</v>
          </cell>
          <cell r="AB87">
            <v>4.5410107822441148E-3</v>
          </cell>
          <cell r="AC87">
            <v>3.6403683534776965E-2</v>
          </cell>
          <cell r="AD87">
            <v>0.12515677317521989</v>
          </cell>
          <cell r="AE87">
            <v>0.16565512988282727</v>
          </cell>
          <cell r="AF87">
            <v>0.13570603708218321</v>
          </cell>
          <cell r="AG87">
            <v>0.11049299341549879</v>
          </cell>
          <cell r="AH87">
            <v>3.1316428394692952E-2</v>
          </cell>
          <cell r="AI87">
            <v>0.21025960294383639</v>
          </cell>
          <cell r="AJ87">
            <v>0.2053819642441328</v>
          </cell>
        </row>
        <row r="88">
          <cell r="O88">
            <v>6.3416666666666672E-5</v>
          </cell>
          <cell r="P88">
            <v>3.3762579425800077E-4</v>
          </cell>
          <cell r="Q88">
            <v>-4.9419567051486313E-3</v>
          </cell>
          <cell r="R88">
            <v>-1.9428262162357601E-4</v>
          </cell>
          <cell r="S88">
            <v>1.5858831878961865E-2</v>
          </cell>
          <cell r="T88">
            <v>7.0683105254980561E-3</v>
          </cell>
          <cell r="U88">
            <v>1.7491581083854735E-2</v>
          </cell>
          <cell r="V88">
            <v>1.1279931639825103E-2</v>
          </cell>
          <cell r="W88">
            <v>3.6475471473991439E-2</v>
          </cell>
          <cell r="X88">
            <v>1.6741172024358209E-2</v>
          </cell>
          <cell r="Z88">
            <v>41274</v>
          </cell>
          <cell r="AA88">
            <v>7.3616251933605881E-4</v>
          </cell>
          <cell r="AB88">
            <v>4.3358740251142613E-3</v>
          </cell>
          <cell r="AC88">
            <v>2.162087335993168E-2</v>
          </cell>
          <cell r="AD88">
            <v>0.10367869921102191</v>
          </cell>
          <cell r="AE88">
            <v>0.15546855220140099</v>
          </cell>
          <cell r="AF88">
            <v>0.13405693384223927</v>
          </cell>
          <cell r="AG88">
            <v>0.13183774596436604</v>
          </cell>
          <cell r="AH88">
            <v>4.8094887745631976E-2</v>
          </cell>
          <cell r="AI88">
            <v>0.19700809928455065</v>
          </cell>
          <cell r="AJ88">
            <v>0.21105237383693942</v>
          </cell>
        </row>
        <row r="89">
          <cell r="O89">
            <v>3.3833333333333334E-5</v>
          </cell>
          <cell r="P89">
            <v>1.1015399528546688E-4</v>
          </cell>
          <cell r="Q89">
            <v>-9.5016863564771903E-3</v>
          </cell>
          <cell r="R89">
            <v>-7.1759738369659987E-3</v>
          </cell>
          <cell r="S89">
            <v>1.3759880089297738E-2</v>
          </cell>
          <cell r="T89">
            <v>5.0428063581991145E-2</v>
          </cell>
          <cell r="U89">
            <v>5.0033619723571121E-2</v>
          </cell>
          <cell r="V89">
            <v>2.0520075697851192E-2</v>
          </cell>
          <cell r="W89">
            <v>3.6573553767893063E-2</v>
          </cell>
          <cell r="X89">
            <v>7.8911474695946948E-2</v>
          </cell>
          <cell r="Z89">
            <v>41305</v>
          </cell>
          <cell r="AA89">
            <v>7.6151428662996068E-4</v>
          </cell>
          <cell r="AB89">
            <v>3.3090013145835595E-3</v>
          </cell>
          <cell r="AC89">
            <v>7.3713107630004604E-3</v>
          </cell>
          <cell r="AD89">
            <v>7.2352492198719975E-2</v>
          </cell>
          <cell r="AE89">
            <v>0.1383366792778471</v>
          </cell>
          <cell r="AF89">
            <v>0.14149541682858224</v>
          </cell>
          <cell r="AG89">
            <v>0.13263061189952308</v>
          </cell>
          <cell r="AH89">
            <v>5.3021327400762708E-2</v>
          </cell>
          <cell r="AI89">
            <v>0.16661049740997336</v>
          </cell>
          <cell r="AJ89">
            <v>0.19194628681491488</v>
          </cell>
        </row>
        <row r="90">
          <cell r="O90">
            <v>5.9166666666666664E-5</v>
          </cell>
          <cell r="P90">
            <v>8.3091021235359719E-4</v>
          </cell>
          <cell r="Q90">
            <v>5.9378731064057E-3</v>
          </cell>
          <cell r="R90">
            <v>7.0715896685218382E-3</v>
          </cell>
          <cell r="S90">
            <v>4.6267001635165173E-3</v>
          </cell>
          <cell r="T90">
            <v>1.1060603026480154E-2</v>
          </cell>
          <cell r="U90">
            <v>-2.0633667029534841E-4</v>
          </cell>
          <cell r="V90">
            <v>2.6238727119396454E-3</v>
          </cell>
          <cell r="W90">
            <v>1.2409545310265502E-2</v>
          </cell>
          <cell r="X90">
            <v>7.555418131898195E-3</v>
          </cell>
          <cell r="Z90">
            <v>41333</v>
          </cell>
          <cell r="AA90">
            <v>7.7835972566320244E-4</v>
          </cell>
          <cell r="AB90">
            <v>5.5587819725133603E-3</v>
          </cell>
          <cell r="AC90">
            <v>2.0591278680684999E-2</v>
          </cell>
          <cell r="AD90">
            <v>7.0845406224080865E-2</v>
          </cell>
          <cell r="AE90">
            <v>0.1180949459100471</v>
          </cell>
          <cell r="AF90">
            <v>0.10910315740144094</v>
          </cell>
          <cell r="AG90">
            <v>8.197301958851777E-2</v>
          </cell>
          <cell r="AH90">
            <v>4.202854833006886E-2</v>
          </cell>
          <cell r="AI90">
            <v>0.19194601846272752</v>
          </cell>
          <cell r="AJ90">
            <v>0.16890636310146423</v>
          </cell>
        </row>
        <row r="91">
          <cell r="O91">
            <v>8.4500000000000008E-5</v>
          </cell>
          <cell r="P91">
            <v>2.3418729525115367E-4</v>
          </cell>
          <cell r="Q91">
            <v>1.0737913451743797E-3</v>
          </cell>
          <cell r="R91">
            <v>6.6103676205497841E-4</v>
          </cell>
          <cell r="S91">
            <v>1.0305228071378902E-2</v>
          </cell>
          <cell r="T91">
            <v>3.5987799403174314E-2</v>
          </cell>
          <cell r="U91">
            <v>2.0872770748231462E-2</v>
          </cell>
          <cell r="V91">
            <v>9.3186486452792039E-3</v>
          </cell>
          <cell r="W91">
            <v>3.0075545543094773E-2</v>
          </cell>
          <cell r="X91">
            <v>5.8131380463207538E-2</v>
          </cell>
          <cell r="Z91">
            <v>41362</v>
          </cell>
          <cell r="AA91">
            <v>7.9929134211953468E-4</v>
          </cell>
          <cell r="AB91">
            <v>6.3609016695487242E-3</v>
          </cell>
          <cell r="AC91">
            <v>3.2343838300247896E-2</v>
          </cell>
          <cell r="AD91">
            <v>7.7917142774205139E-2</v>
          </cell>
          <cell r="AE91">
            <v>0.1305591804548536</v>
          </cell>
          <cell r="AF91">
            <v>0.11410963669797747</v>
          </cell>
          <cell r="AG91">
            <v>9.3368190791228489E-2</v>
          </cell>
          <cell r="AH91">
            <v>5.0295459214502181E-2</v>
          </cell>
          <cell r="AI91">
            <v>0.17110310321936639</v>
          </cell>
          <cell r="AJ91">
            <v>0.17857745181961082</v>
          </cell>
        </row>
        <row r="92">
          <cell r="O92">
            <v>5.9166666666666664E-5</v>
          </cell>
          <cell r="P92">
            <v>1.0131070170205092E-3</v>
          </cell>
          <cell r="Q92">
            <v>1.0531370167573773E-2</v>
          </cell>
          <cell r="R92">
            <v>1.699892524977531E-2</v>
          </cell>
          <cell r="S92">
            <v>1.8570070613796785E-2</v>
          </cell>
          <cell r="T92">
            <v>1.8085763992887971E-2</v>
          </cell>
          <cell r="U92">
            <v>2.9020362353695761E-2</v>
          </cell>
          <cell r="V92">
            <v>8.5975033639389409E-3</v>
          </cell>
          <cell r="W92">
            <v>6.330666949378605E-2</v>
          </cell>
          <cell r="X92">
            <v>1.144776349459864E-4</v>
          </cell>
          <cell r="Z92">
            <v>41394</v>
          </cell>
          <cell r="AA92">
            <v>8.0337771413496739E-4</v>
          </cell>
          <cell r="AB92">
            <v>5.2638324766531852E-3</v>
          </cell>
          <cell r="AC92">
            <v>2.7541593440784551E-2</v>
          </cell>
          <cell r="AD92">
            <v>8.2425833729975473E-2</v>
          </cell>
          <cell r="AE92">
            <v>0.14010094066195267</v>
          </cell>
          <cell r="AF92">
            <v>0.1428275067779754</v>
          </cell>
          <cell r="AG92">
            <v>0.14076615738916054</v>
          </cell>
          <cell r="AH92">
            <v>6.231536578942154E-2</v>
          </cell>
          <cell r="AI92">
            <v>0.21282326587890243</v>
          </cell>
          <cell r="AJ92">
            <v>0.19582957676573942</v>
          </cell>
        </row>
        <row r="93">
          <cell r="O93">
            <v>3.8000000000000002E-5</v>
          </cell>
          <cell r="P93">
            <v>-1.4332694370678967E-3</v>
          </cell>
          <cell r="Q93">
            <v>-2.0148458119876533E-2</v>
          </cell>
          <cell r="R93">
            <v>-2.2811171118688689E-2</v>
          </cell>
          <cell r="S93">
            <v>-5.3085600530856647E-3</v>
          </cell>
          <cell r="T93">
            <v>2.0762783477406455E-2</v>
          </cell>
          <cell r="U93">
            <v>-2.8520330049995879E-3</v>
          </cell>
          <cell r="V93">
            <v>6.1574763744156602E-3</v>
          </cell>
          <cell r="W93">
            <v>-5.9001229426800861E-2</v>
          </cell>
          <cell r="X93">
            <v>4.029264164309776E-2</v>
          </cell>
          <cell r="Z93">
            <v>41425</v>
          </cell>
          <cell r="AA93">
            <v>7.6509990361994795E-4</v>
          </cell>
          <cell r="AB93">
            <v>3.4105869567142566E-3</v>
          </cell>
          <cell r="AC93">
            <v>-1.128078814426059E-2</v>
          </cell>
          <cell r="AD93">
            <v>5.1648777261031897E-2</v>
          </cell>
          <cell r="AE93">
            <v>0.14820501699847477</v>
          </cell>
          <cell r="AF93">
            <v>0.24452618805949689</v>
          </cell>
          <cell r="AG93">
            <v>0.24989810128732004</v>
          </cell>
          <cell r="AH93">
            <v>8.1730031821573235E-2</v>
          </cell>
          <cell r="AI93">
            <v>0.19392595826991132</v>
          </cell>
          <cell r="AJ93">
            <v>0.32515914819014946</v>
          </cell>
        </row>
        <row r="94">
          <cell r="O94">
            <v>2.1083333333333332E-5</v>
          </cell>
          <cell r="P94">
            <v>-7.0885763849148908E-4</v>
          </cell>
          <cell r="Q94">
            <v>-1.2550513797482843E-2</v>
          </cell>
          <cell r="R94">
            <v>-2.759722730309111E-2</v>
          </cell>
          <cell r="S94">
            <v>-2.6358516027427781E-2</v>
          </cell>
          <cell r="T94">
            <v>-1.499932545960736E-2</v>
          </cell>
          <cell r="U94">
            <v>-2.6074609526268278E-2</v>
          </cell>
          <cell r="V94">
            <v>-1.3137384469871116E-2</v>
          </cell>
          <cell r="W94">
            <v>-2.1880028129755758E-2</v>
          </cell>
          <cell r="X94">
            <v>9.4600744182702368E-3</v>
          </cell>
          <cell r="Z94">
            <v>41453</v>
          </cell>
          <cell r="AA94">
            <v>7.3124254374024034E-4</v>
          </cell>
          <cell r="AB94">
            <v>3.2790624480605324E-3</v>
          </cell>
          <cell r="AC94">
            <v>-1.9991250710289843E-2</v>
          </cell>
          <cell r="AD94">
            <v>1.7548525356749556E-2</v>
          </cell>
          <cell r="AE94">
            <v>9.5655810477748071E-2</v>
          </cell>
          <cell r="AF94">
            <v>0.17921536383391112</v>
          </cell>
          <cell r="AG94">
            <v>0.16009290130450227</v>
          </cell>
          <cell r="AH94">
            <v>7.1871471226108374E-2</v>
          </cell>
          <cell r="AI94">
            <v>0.10205529700139193</v>
          </cell>
          <cell r="AJ94">
            <v>0.26502424839739658</v>
          </cell>
        </row>
        <row r="95">
          <cell r="O95">
            <v>2.5333333333333334E-5</v>
          </cell>
          <cell r="P95">
            <v>1.5896724164516929E-3</v>
          </cell>
          <cell r="Q95">
            <v>-1.9451251847627526E-3</v>
          </cell>
          <cell r="R95">
            <v>7.3868715089695502E-3</v>
          </cell>
          <cell r="S95">
            <v>1.8803108613763442E-2</v>
          </cell>
          <cell r="T95">
            <v>4.9462111213487203E-2</v>
          </cell>
          <cell r="U95">
            <v>5.1871228767744526E-2</v>
          </cell>
          <cell r="V95">
            <v>9.1891103847112632E-3</v>
          </cell>
          <cell r="W95">
            <v>8.2878695885766351E-3</v>
          </cell>
          <cell r="X95">
            <v>7.1868724591266364E-2</v>
          </cell>
          <cell r="Z95">
            <v>41486</v>
          </cell>
          <cell r="AA95">
            <v>6.8896450603372905E-4</v>
          </cell>
          <cell r="AB95">
            <v>2.4801180437410419E-3</v>
          </cell>
          <cell r="AC95">
            <v>-3.2223361954089924E-2</v>
          </cell>
          <cell r="AD95">
            <v>-2.9249211725592694E-3</v>
          </cell>
          <cell r="AE95">
            <v>9.5269968013507178E-2</v>
          </cell>
          <cell r="AF95">
            <v>0.22214569498013592</v>
          </cell>
          <cell r="AG95">
            <v>0.20577816515668834</v>
          </cell>
          <cell r="AH95">
            <v>7.2045052379037022E-2</v>
          </cell>
          <cell r="AI95">
            <v>8.7588730339863252E-2</v>
          </cell>
          <cell r="AJ95">
            <v>0.36739525967913345</v>
          </cell>
        </row>
        <row r="96">
          <cell r="O96">
            <v>2.9583333333333332E-5</v>
          </cell>
          <cell r="P96">
            <v>-9.1058735963966964E-4</v>
          </cell>
          <cell r="Q96">
            <v>-5.3898417918450958E-3</v>
          </cell>
          <cell r="R96">
            <v>-6.6851475720129949E-3</v>
          </cell>
          <cell r="S96">
            <v>-6.2001363477234284E-3</v>
          </cell>
          <cell r="T96">
            <v>-3.1298013323604601E-2</v>
          </cell>
          <cell r="U96">
            <v>-2.33236731635178E-2</v>
          </cell>
          <cell r="V96">
            <v>-6.9632203176211993E-3</v>
          </cell>
          <cell r="W96">
            <v>-6.622236547065774E-2</v>
          </cell>
          <cell r="X96">
            <v>-2.683995058753863E-2</v>
          </cell>
          <cell r="Z96">
            <v>41516</v>
          </cell>
          <cell r="AA96">
            <v>6.3826700030711336E-4</v>
          </cell>
          <cell r="AB96">
            <v>1.4798274298983838E-3</v>
          </cell>
          <cell r="AC96">
            <v>-3.6140345956241493E-2</v>
          </cell>
          <cell r="AD96">
            <v>-1.353409497217628E-2</v>
          </cell>
          <cell r="AE96">
            <v>7.5507063832049859E-2</v>
          </cell>
          <cell r="AF96">
            <v>0.16095067468611868</v>
          </cell>
          <cell r="AG96">
            <v>0.15128868598588174</v>
          </cell>
          <cell r="AH96">
            <v>5.7599728026104025E-2</v>
          </cell>
          <cell r="AI96">
            <v>1.4352121570912146E-2</v>
          </cell>
          <cell r="AJ96">
            <v>0.29561219757903356</v>
          </cell>
        </row>
        <row r="97">
          <cell r="O97">
            <v>1.6916666666666667E-5</v>
          </cell>
          <cell r="P97">
            <v>2.2604909853345401E-3</v>
          </cell>
          <cell r="Q97">
            <v>7.6369728708005624E-3</v>
          </cell>
          <cell r="R97">
            <v>8.2365093403367062E-3</v>
          </cell>
          <cell r="S97">
            <v>9.9159814473190888E-3</v>
          </cell>
          <cell r="T97">
            <v>2.9749474883188354E-2</v>
          </cell>
          <cell r="U97">
            <v>4.816192946480724E-2</v>
          </cell>
          <cell r="V97">
            <v>1.2089449946689035E-2</v>
          </cell>
          <cell r="W97">
            <v>3.434223467626718E-2</v>
          </cell>
          <cell r="X97">
            <v>6.2364057265549055E-2</v>
          </cell>
          <cell r="Z97">
            <v>41547</v>
          </cell>
          <cell r="AA97">
            <v>5.9599253476516623E-4</v>
          </cell>
          <cell r="AB97">
            <v>3.6578063919903148E-3</v>
          </cell>
          <cell r="AC97">
            <v>-2.5426784237564615E-2</v>
          </cell>
          <cell r="AD97">
            <v>-1.2701450626312671E-2</v>
          </cell>
          <cell r="AE97">
            <v>7.0921149208346357E-2</v>
          </cell>
          <cell r="AF97">
            <v>0.16719998334108488</v>
          </cell>
          <cell r="AG97">
            <v>0.17702630575676692</v>
          </cell>
          <cell r="AH97">
            <v>6.3431995019913812E-2</v>
          </cell>
          <cell r="AI97">
            <v>6.2287733421766411E-2</v>
          </cell>
          <cell r="AJ97">
            <v>0.31353894289694262</v>
          </cell>
        </row>
        <row r="98">
          <cell r="O98">
            <v>4.25E-6</v>
          </cell>
          <cell r="P98">
            <v>1.0262168533272664E-3</v>
          </cell>
          <cell r="Q98">
            <v>5.4804354642623565E-3</v>
          </cell>
          <cell r="R98">
            <v>1.4968260558051671E-2</v>
          </cell>
          <cell r="S98">
            <v>2.4520542915539734E-2</v>
          </cell>
          <cell r="T98">
            <v>4.4595759864410889E-2</v>
          </cell>
          <cell r="U98">
            <v>3.8343687446150909E-2</v>
          </cell>
          <cell r="V98">
            <v>1.2077240762550012E-2</v>
          </cell>
          <cell r="W98">
            <v>4.3348655126880242E-2</v>
          </cell>
          <cell r="X98">
            <v>9.1877396119739441E-3</v>
          </cell>
          <cell r="Z98">
            <v>41578</v>
          </cell>
          <cell r="AA98">
            <v>5.2412185746208984E-4</v>
          </cell>
          <cell r="AB98">
            <v>5.246240679452896E-3</v>
          </cell>
          <cell r="AC98">
            <v>-1.838587238910272E-2</v>
          </cell>
          <cell r="AD98">
            <v>-1.0942259404669974E-2</v>
          </cell>
          <cell r="AE98">
            <v>8.8205758187331229E-2</v>
          </cell>
          <cell r="AF98">
            <v>0.24386755041921626</v>
          </cell>
          <cell r="AG98">
            <v>0.23152928883152013</v>
          </cell>
          <cell r="AH98">
            <v>7.8520049774482459E-2</v>
          </cell>
          <cell r="AI98">
            <v>0.11112756412216118</v>
          </cell>
          <cell r="AJ98">
            <v>0.36562172648321312</v>
          </cell>
        </row>
        <row r="99">
          <cell r="O99">
            <v>2.9583333333333332E-5</v>
          </cell>
          <cell r="P99">
            <v>9.3212759439986748E-4</v>
          </cell>
          <cell r="Q99">
            <v>-4.2729139111795655E-3</v>
          </cell>
          <cell r="R99">
            <v>-2.8776747035942352E-3</v>
          </cell>
          <cell r="S99">
            <v>4.6409948572760928E-3</v>
          </cell>
          <cell r="T99">
            <v>2.804946087194149E-2</v>
          </cell>
          <cell r="U99">
            <v>1.5946495639045377E-2</v>
          </cell>
          <cell r="V99">
            <v>1.1616239432692188E-2</v>
          </cell>
          <cell r="W99">
            <v>-4.8655503729338134E-2</v>
          </cell>
          <cell r="X99">
            <v>5.8603609212572794E-2</v>
          </cell>
          <cell r="Z99">
            <v>41607</v>
          </cell>
          <cell r="AA99">
            <v>4.6492943357967498E-4</v>
          </cell>
          <cell r="AB99">
            <v>5.2882954040576191E-3</v>
          </cell>
          <cell r="AC99">
            <v>-2.8171289127161048E-2</v>
          </cell>
          <cell r="AD99">
            <v>-1.2977752599040548E-2</v>
          </cell>
          <cell r="AE99">
            <v>8.5200896817587912E-2</v>
          </cell>
          <cell r="AF99">
            <v>0.27512745554943652</v>
          </cell>
          <cell r="AG99">
            <v>0.23788094170233154</v>
          </cell>
          <cell r="AH99">
            <v>8.6140638698212424E-2</v>
          </cell>
          <cell r="AI99">
            <v>5.9945953039878486E-2</v>
          </cell>
          <cell r="AJ99">
            <v>0.45413163438979631</v>
          </cell>
        </row>
        <row r="100">
          <cell r="O100">
            <v>4.6499999999999999E-5</v>
          </cell>
          <cell r="P100">
            <v>-1.3626905157968494E-3</v>
          </cell>
          <cell r="Q100">
            <v>-1.0392957075136766E-2</v>
          </cell>
          <cell r="R100">
            <v>-1.7959320051789129E-3</v>
          </cell>
          <cell r="S100">
            <v>5.4905528008655224E-3</v>
          </cell>
          <cell r="T100">
            <v>2.3562833299184183E-2</v>
          </cell>
          <cell r="U100">
            <v>2.0050109922501447E-2</v>
          </cell>
          <cell r="V100">
            <v>1.5226749450585553E-2</v>
          </cell>
          <cell r="W100">
            <v>5.7822744998801134E-3</v>
          </cell>
          <cell r="X100">
            <v>3.0384616499948613E-2</v>
          </cell>
          <cell r="Z100">
            <v>41639</v>
          </cell>
          <cell r="AA100">
            <v>4.4800597508642959E-4</v>
          </cell>
          <cell r="AB100">
            <v>3.5795642307945297E-3</v>
          </cell>
          <cell r="AC100">
            <v>-3.3495037523779359E-2</v>
          </cell>
          <cell r="AD100">
            <v>-1.4558923367147369E-2</v>
          </cell>
          <cell r="AE100">
            <v>7.4124883693604815E-2</v>
          </cell>
          <cell r="AF100">
            <v>0.29601245275874954</v>
          </cell>
          <cell r="AG100">
            <v>0.24099364960777003</v>
          </cell>
          <cell r="AH100">
            <v>9.0379622468861998E-2</v>
          </cell>
          <cell r="AI100">
            <v>2.8557723589258233E-2</v>
          </cell>
          <cell r="AJ100">
            <v>0.47364433315707055</v>
          </cell>
        </row>
        <row r="101">
          <cell r="O101">
            <v>5.4916666666666669E-5</v>
          </cell>
          <cell r="P101">
            <v>1.5814379055123506E-3</v>
          </cell>
          <cell r="Q101">
            <v>1.5969001717037301E-2</v>
          </cell>
          <cell r="R101">
            <v>1.7841252744521308E-2</v>
          </cell>
          <cell r="S101">
            <v>7.4059182303847226E-3</v>
          </cell>
          <cell r="T101">
            <v>-3.5582895107013734E-2</v>
          </cell>
          <cell r="U101">
            <v>-3.7692571655619567E-2</v>
          </cell>
          <cell r="V101">
            <v>-4.6752741251663288E-3</v>
          </cell>
          <cell r="W101">
            <v>3.3120283084565161E-2</v>
          </cell>
          <cell r="X101">
            <v>1.6008568298106152E-2</v>
          </cell>
          <cell r="Z101">
            <v>41670</v>
          </cell>
          <cell r="AA101">
            <v>4.6909804026373791E-4</v>
          </cell>
          <cell r="AB101">
            <v>5.0559520662611934E-3</v>
          </cell>
          <cell r="AC101">
            <v>-8.6413390553986558E-3</v>
          </cell>
          <cell r="AD101">
            <v>1.0272267304280547E-2</v>
          </cell>
          <cell r="AE101">
            <v>6.7392570966751775E-2</v>
          </cell>
          <cell r="AF101">
            <v>0.18989259800682268</v>
          </cell>
          <cell r="AG101">
            <v>0.13731349655275449</v>
          </cell>
          <cell r="AH101">
            <v>6.345952880073269E-2</v>
          </cell>
          <cell r="AI101">
            <v>2.5131157071069055E-2</v>
          </cell>
          <cell r="AJ101">
            <v>0.3877276349604819</v>
          </cell>
        </row>
        <row r="102">
          <cell r="O102">
            <v>1.6916666666666667E-5</v>
          </cell>
          <cell r="P102">
            <v>9.038801092022819E-4</v>
          </cell>
          <cell r="Q102">
            <v>3.1205105942291311E-3</v>
          </cell>
          <cell r="R102">
            <v>1.0973285355480922E-2</v>
          </cell>
          <cell r="S102">
            <v>1.9994247948630584E-2</v>
          </cell>
          <cell r="T102">
            <v>4.3117037568930705E-2</v>
          </cell>
          <cell r="U102">
            <v>4.8133828810229984E-2</v>
          </cell>
          <cell r="V102">
            <v>1.5665185253169511E-2</v>
          </cell>
          <cell r="W102">
            <v>4.6666991377195766E-2</v>
          </cell>
          <cell r="X102">
            <v>4.7248047749419486E-2</v>
          </cell>
          <cell r="Z102">
            <v>41698</v>
          </cell>
          <cell r="AA102">
            <v>4.2683072168747671E-4</v>
          </cell>
          <cell r="AB102">
            <v>5.1292300080205688E-3</v>
          </cell>
          <cell r="AC102">
            <v>-1.1417869099785816E-2</v>
          </cell>
          <cell r="AD102">
            <v>1.4186363370969124E-2</v>
          </cell>
          <cell r="AE102">
            <v>8.372023410484819E-2</v>
          </cell>
          <cell r="AF102">
            <v>0.22761903504370617</v>
          </cell>
          <cell r="AG102">
            <v>0.19230276548200265</v>
          </cell>
          <cell r="AH102">
            <v>7.7292141874792497E-2</v>
          </cell>
          <cell r="AI102">
            <v>5.9819071154425307E-2</v>
          </cell>
          <cell r="AJ102">
            <v>0.44239714299271848</v>
          </cell>
        </row>
        <row r="103">
          <cell r="O103">
            <v>3.8000000000000002E-5</v>
          </cell>
          <cell r="P103">
            <v>-1.107151021881192E-3</v>
          </cell>
          <cell r="Q103">
            <v>-2.817973742041735E-3</v>
          </cell>
          <cell r="R103">
            <v>7.1137327652026627E-4</v>
          </cell>
          <cell r="S103">
            <v>2.3247717666827761E-3</v>
          </cell>
          <cell r="T103">
            <v>6.9321573583585039E-3</v>
          </cell>
          <cell r="U103">
            <v>-9.1321475468553182E-4</v>
          </cell>
          <cell r="V103">
            <v>-6.0962559799637717E-3</v>
          </cell>
          <cell r="W103">
            <v>3.5325000810206841E-3</v>
          </cell>
          <cell r="X103">
            <v>-2.0103930094331979E-2</v>
          </cell>
          <cell r="Z103">
            <v>41729</v>
          </cell>
          <cell r="AA103">
            <v>3.8031480465439138E-4</v>
          </cell>
          <cell r="AB103">
            <v>3.7813273198261665E-3</v>
          </cell>
          <cell r="AC103">
            <v>-1.5261071724952169E-2</v>
          </cell>
          <cell r="AD103">
            <v>1.4237380253484533E-2</v>
          </cell>
          <cell r="AE103">
            <v>7.5159868648461581E-2</v>
          </cell>
          <cell r="AF103">
            <v>0.19318884265130465</v>
          </cell>
          <cell r="AG103">
            <v>0.16685836975692014</v>
          </cell>
          <cell r="AH103">
            <v>6.0839106311828317E-2</v>
          </cell>
          <cell r="AI103">
            <v>3.2509592826412526E-2</v>
          </cell>
          <cell r="AJ103">
            <v>0.33575028371524107</v>
          </cell>
        </row>
        <row r="104">
          <cell r="O104">
            <v>2.5333333333333334E-5</v>
          </cell>
          <cell r="P104">
            <v>1.3240910027578767E-3</v>
          </cell>
          <cell r="Q104">
            <v>6.2432860090160247E-3</v>
          </cell>
          <cell r="R104">
            <v>1.1659515749116389E-2</v>
          </cell>
          <cell r="S104">
            <v>6.9236929807185987E-3</v>
          </cell>
          <cell r="T104">
            <v>6.2007968638175814E-3</v>
          </cell>
          <cell r="U104">
            <v>8.28618709935669E-3</v>
          </cell>
          <cell r="V104">
            <v>-6.8337410025893774E-3</v>
          </cell>
          <cell r="W104">
            <v>2.9944155912981385E-2</v>
          </cell>
          <cell r="X104">
            <v>-6.6140347562259394E-2</v>
          </cell>
          <cell r="Z104">
            <v>41759</v>
          </cell>
          <cell r="AA104">
            <v>3.4647060645154326E-4</v>
          </cell>
          <cell r="AB104">
            <v>4.0931713064731312E-3</v>
          </cell>
          <cell r="AC104">
            <v>-1.9439708354462404E-2</v>
          </cell>
          <cell r="AD104">
            <v>8.9124693124833509E-3</v>
          </cell>
          <cell r="AE104">
            <v>6.2866440628664089E-2</v>
          </cell>
          <cell r="AF104">
            <v>0.1792597507464464</v>
          </cell>
          <cell r="AG104">
            <v>0.1433468370208788</v>
          </cell>
          <cell r="AH104">
            <v>4.4608580826221544E-2</v>
          </cell>
          <cell r="AI104">
            <v>1.1337421773816025E-4</v>
          </cell>
          <cell r="AJ104">
            <v>0.24726051226032331</v>
          </cell>
        </row>
        <row r="105">
          <cell r="O105">
            <v>2.1083333333333332E-5</v>
          </cell>
          <cell r="P105">
            <v>1.8372645950004429E-3</v>
          </cell>
          <cell r="Q105">
            <v>1.0908523280633409E-2</v>
          </cell>
          <cell r="R105">
            <v>1.529301775138503E-2</v>
          </cell>
          <cell r="S105">
            <v>1.002619868236887E-2</v>
          </cell>
          <cell r="T105">
            <v>2.1030282120013677E-2</v>
          </cell>
          <cell r="U105">
            <v>1.6258428430919514E-2</v>
          </cell>
          <cell r="V105">
            <v>1.1947396226139828E-2</v>
          </cell>
          <cell r="W105">
            <v>2.9140302779363303E-2</v>
          </cell>
          <cell r="X105">
            <v>-2.8122567931710973E-3</v>
          </cell>
          <cell r="Z105">
            <v>41789</v>
          </cell>
          <cell r="AA105">
            <v>3.2954872168922122E-4</v>
          </cell>
          <cell r="AB105">
            <v>7.3818056937555721E-3</v>
          </cell>
          <cell r="AC105">
            <v>1.1639737294294683E-2</v>
          </cell>
          <cell r="AD105">
            <v>4.8253679678207373E-2</v>
          </cell>
          <cell r="AE105">
            <v>7.9252225989319802E-2</v>
          </cell>
          <cell r="AF105">
            <v>0.17956878472349991</v>
          </cell>
          <cell r="AG105">
            <v>0.16525921748996208</v>
          </cell>
          <cell r="AH105">
            <v>5.0619767048483366E-2</v>
          </cell>
          <cell r="AI105">
            <v>9.3792056847399552E-2</v>
          </cell>
          <cell r="AJ105">
            <v>0.19557982592995216</v>
          </cell>
        </row>
        <row r="106">
          <cell r="O106">
            <v>2.5333333333333334E-5</v>
          </cell>
          <cell r="P106">
            <v>-4.440508980227964E-4</v>
          </cell>
          <cell r="Q106">
            <v>-1.5609181018162444E-3</v>
          </cell>
          <cell r="R106">
            <v>1.6740210267067734E-3</v>
          </cell>
          <cell r="S106">
            <v>8.4928506511467994E-3</v>
          </cell>
          <cell r="T106">
            <v>1.9058313448431896E-2</v>
          </cell>
          <cell r="U106">
            <v>1.6464744225095806E-2</v>
          </cell>
          <cell r="V106">
            <v>1.0105954770549097E-2</v>
          </cell>
          <cell r="W106">
            <v>1.0665166731117059E-2</v>
          </cell>
          <cell r="X106">
            <v>5.8146016781268406E-2</v>
          </cell>
          <cell r="Z106">
            <v>41820</v>
          </cell>
          <cell r="AA106">
            <v>3.3380003263894231E-4</v>
          </cell>
          <cell r="AB106">
            <v>7.6487564161875632E-3</v>
          </cell>
          <cell r="AC106">
            <v>2.2898552917653525E-2</v>
          </cell>
          <cell r="AD106">
            <v>7.9808190455038952E-2</v>
          </cell>
          <cell r="AE106">
            <v>0.11788391505124718</v>
          </cell>
          <cell r="AF106">
            <v>0.22035386109520205</v>
          </cell>
          <cell r="AG106">
            <v>0.21615569739458018</v>
          </cell>
          <cell r="AH106">
            <v>7.5364763235293619E-2</v>
          </cell>
          <cell r="AI106">
            <v>0.13018603371233173</v>
          </cell>
          <cell r="AJ106">
            <v>0.25324226545648143</v>
          </cell>
        </row>
        <row r="107">
          <cell r="O107">
            <v>1.6916666666666667E-5</v>
          </cell>
          <cell r="P107">
            <v>-7.8093230899733967E-4</v>
          </cell>
          <cell r="Q107">
            <v>-1.4961171557231756E-3</v>
          </cell>
          <cell r="R107">
            <v>-1.1757998723708196E-3</v>
          </cell>
          <cell r="S107">
            <v>-1.3184740293361252E-2</v>
          </cell>
          <cell r="T107">
            <v>-1.5079863077291922E-2</v>
          </cell>
          <cell r="U107">
            <v>-1.6674123274942443E-2</v>
          </cell>
          <cell r="V107">
            <v>-4.2614192498401371E-3</v>
          </cell>
          <cell r="W107">
            <v>3.1769171844953092E-4</v>
          </cell>
          <cell r="X107">
            <v>-7.0071541545150828E-2</v>
          </cell>
          <cell r="Z107">
            <v>41851</v>
          </cell>
          <cell r="AA107">
            <v>3.2538076977695063E-4</v>
          </cell>
          <cell r="AB107">
            <v>5.2638107949034563E-3</v>
          </cell>
          <cell r="AC107">
            <v>2.335873769781216E-2</v>
          </cell>
          <cell r="AD107">
            <v>7.0629946275723388E-2</v>
          </cell>
          <cell r="AE107">
            <v>8.2785178633943302E-2</v>
          </cell>
          <cell r="AF107">
            <v>0.14530203532001007</v>
          </cell>
          <cell r="AG107">
            <v>0.13690472243038365</v>
          </cell>
          <cell r="AH107">
            <v>6.1032240750647837E-2</v>
          </cell>
          <cell r="AI107">
            <v>0.12125229168616158</v>
          </cell>
          <cell r="AJ107">
            <v>8.7283938087491242E-2</v>
          </cell>
        </row>
        <row r="108">
          <cell r="O108">
            <v>1.6916666666666667E-5</v>
          </cell>
          <cell r="P108">
            <v>1.667232621397341E-3</v>
          </cell>
          <cell r="Q108">
            <v>1.2175428530638577E-2</v>
          </cell>
          <cell r="R108">
            <v>1.4268707223337396E-2</v>
          </cell>
          <cell r="S108">
            <v>1.5227058730104659E-2</v>
          </cell>
          <cell r="T108">
            <v>3.7655321727690261E-2</v>
          </cell>
          <cell r="U108">
            <v>2.0030915507335267E-2</v>
          </cell>
          <cell r="V108">
            <v>8.0954935211421386E-3</v>
          </cell>
          <cell r="W108">
            <v>3.2749718340985945E-2</v>
          </cell>
          <cell r="X108">
            <v>4.2050966136969237E-2</v>
          </cell>
          <cell r="Z108">
            <v>41880</v>
          </cell>
          <cell r="AA108">
            <v>3.1271035645330514E-4</v>
          </cell>
          <cell r="AB108">
            <v>7.8575617694356392E-3</v>
          </cell>
          <cell r="AC108">
            <v>4.1431721083505346E-2</v>
          </cell>
          <cell r="AD108">
            <v>9.3214753478574996E-2</v>
          </cell>
          <cell r="AE108">
            <v>0.10613097500455759</v>
          </cell>
          <cell r="AF108">
            <v>0.22682596740907668</v>
          </cell>
          <cell r="AG108">
            <v>0.18737183752733033</v>
          </cell>
          <cell r="AH108">
            <v>7.7122058584259801E-2</v>
          </cell>
          <cell r="AI108">
            <v>0.24009501363965402</v>
          </cell>
          <cell r="AJ108">
            <v>0.16425379240888782</v>
          </cell>
        </row>
        <row r="109">
          <cell r="O109">
            <v>1.6916666666666667E-5</v>
          </cell>
          <cell r="P109">
            <v>-5.5918784954711587E-4</v>
          </cell>
          <cell r="Q109">
            <v>-6.3298466173178358E-3</v>
          </cell>
          <cell r="R109">
            <v>-1.2431832190915149E-2</v>
          </cell>
          <cell r="S109">
            <v>-2.1004846842568314E-2</v>
          </cell>
          <cell r="T109">
            <v>-1.5513859147336717E-2</v>
          </cell>
          <cell r="U109">
            <v>-2.8752952209940008E-2</v>
          </cell>
          <cell r="V109">
            <v>-1.7792870055177712E-4</v>
          </cell>
          <cell r="W109">
            <v>-5.6053123830901552E-2</v>
          </cell>
          <cell r="X109">
            <v>-5.6895766713681462E-2</v>
          </cell>
          <cell r="Z109">
            <v>41912</v>
          </cell>
          <cell r="AA109">
            <v>3.1271035645330514E-4</v>
          </cell>
          <cell r="AB109">
            <v>5.0221365870029011E-3</v>
          </cell>
          <cell r="AC109">
            <v>2.6996473817683775E-2</v>
          </cell>
          <cell r="AD109">
            <v>7.0804400666930167E-2</v>
          </cell>
          <cell r="AE109">
            <v>7.2264310279413158E-2</v>
          </cell>
          <cell r="AF109">
            <v>0.1729000029734471</v>
          </cell>
          <cell r="AG109">
            <v>0.10024163195501634</v>
          </cell>
          <cell r="AH109">
            <v>6.4066429812865477E-2</v>
          </cell>
          <cell r="AI109">
            <v>0.13171808617522096</v>
          </cell>
          <cell r="AJ109">
            <v>3.3555938504434168E-2</v>
          </cell>
        </row>
        <row r="110">
          <cell r="O110">
            <v>1.2666666666666667E-5</v>
          </cell>
          <cell r="P110">
            <v>2.7450503856620845E-3</v>
          </cell>
          <cell r="Q110">
            <v>1.0856203181201174E-2</v>
          </cell>
          <cell r="R110">
            <v>9.3323015351907124E-3</v>
          </cell>
          <cell r="S110">
            <v>1.1348396043898257E-2</v>
          </cell>
          <cell r="T110">
            <v>2.3201456175308888E-2</v>
          </cell>
          <cell r="U110">
            <v>5.6994483075345492E-3</v>
          </cell>
          <cell r="V110">
            <v>-6.0266638932718886E-3</v>
          </cell>
          <cell r="W110">
            <v>8.9890891220171465E-2</v>
          </cell>
          <cell r="X110">
            <v>3.0866053579467367E-2</v>
          </cell>
          <cell r="Z110">
            <v>41943</v>
          </cell>
          <cell r="AA110">
            <v>3.2112961931729522E-4</v>
          </cell>
          <cell r="AB110">
            <v>6.7478313990079197E-3</v>
          </cell>
          <cell r="AC110">
            <v>3.248727631829107E-2</v>
          </cell>
          <cell r="AD110">
            <v>6.4858392345112925E-2</v>
          </cell>
          <cell r="AE110">
            <v>5.8478327091583626E-2</v>
          </cell>
          <cell r="AF110">
            <v>0.14887790770491982</v>
          </cell>
          <cell r="AG110">
            <v>6.5651398125849969E-2</v>
          </cell>
          <cell r="AH110">
            <v>4.5032549376745168E-2</v>
          </cell>
          <cell r="AI110">
            <v>0.18220235152505238</v>
          </cell>
          <cell r="AJ110">
            <v>5.5757704596520297E-2</v>
          </cell>
        </row>
        <row r="111">
          <cell r="O111">
            <v>4.25E-6</v>
          </cell>
          <cell r="P111">
            <v>1.443744948854242E-3</v>
          </cell>
          <cell r="Q111">
            <v>9.2188180995642632E-3</v>
          </cell>
          <cell r="R111">
            <v>6.3511658001995652E-3</v>
          </cell>
          <cell r="S111">
            <v>-7.0988620941643266E-3</v>
          </cell>
          <cell r="T111">
            <v>2.4533584400783015E-2</v>
          </cell>
          <cell r="U111">
            <v>1.838896076904617E-2</v>
          </cell>
          <cell r="V111">
            <v>1.3678156225395588E-2</v>
          </cell>
          <cell r="W111">
            <v>2.3367442672310501E-2</v>
          </cell>
          <cell r="X111">
            <v>-1.2540837045626696E-2</v>
          </cell>
          <cell r="Z111">
            <v>41971</v>
          </cell>
          <cell r="AA111">
            <v>2.957889003629699E-4</v>
          </cell>
          <cell r="AB111">
            <v>7.262421397573382E-3</v>
          </cell>
          <cell r="AC111">
            <v>4.6477095246794997E-2</v>
          </cell>
          <cell r="AD111">
            <v>7.4714162307096599E-2</v>
          </cell>
          <cell r="AE111">
            <v>4.6109347316852345E-2</v>
          </cell>
          <cell r="AF111">
            <v>0.14494880413775535</v>
          </cell>
          <cell r="AG111">
            <v>6.8213360189631755E-2</v>
          </cell>
          <cell r="AH111">
            <v>4.7162576632624242E-2</v>
          </cell>
          <cell r="AI111">
            <v>0.27170273433440162</v>
          </cell>
          <cell r="AJ111">
            <v>-1.5195479978598936E-2</v>
          </cell>
        </row>
        <row r="112">
          <cell r="O112">
            <v>8.4166666666666668E-6</v>
          </cell>
          <cell r="P112">
            <v>-2.4358542422430185E-3</v>
          </cell>
          <cell r="Q112">
            <v>2.5858855279670134E-3</v>
          </cell>
          <cell r="R112">
            <v>-1.4009665553383899E-3</v>
          </cell>
          <cell r="S112">
            <v>-1.4708431489001361E-2</v>
          </cell>
          <cell r="T112">
            <v>-4.1885120625277938E-3</v>
          </cell>
          <cell r="U112">
            <v>-1.7148605921241677E-2</v>
          </cell>
          <cell r="V112">
            <v>2.6518146280041233E-3</v>
          </cell>
          <cell r="W112">
            <v>1.2562539086929281E-2</v>
          </cell>
          <cell r="X112">
            <v>4.4136589459581099E-2</v>
          </cell>
          <cell r="Z112">
            <v>42004</v>
          </cell>
          <cell r="AA112">
            <v>2.5769607371883829E-4</v>
          </cell>
          <cell r="AB112">
            <v>6.1799888833964367E-3</v>
          </cell>
          <cell r="AC112">
            <v>6.0201796989840961E-2</v>
          </cell>
          <cell r="AD112">
            <v>7.5139400969385317E-2</v>
          </cell>
          <cell r="AE112">
            <v>2.5094384806189307E-2</v>
          </cell>
          <cell r="AF112">
            <v>0.11390638187366098</v>
          </cell>
          <cell r="AG112">
            <v>2.9258249200816433E-2</v>
          </cell>
          <cell r="AH112">
            <v>3.4192074075508172E-2</v>
          </cell>
          <cell r="AI112">
            <v>0.28027564442982844</v>
          </cell>
          <cell r="AJ112">
            <v>-2.0518393292836556E-3</v>
          </cell>
        </row>
        <row r="113">
          <cell r="O113">
            <v>2.9583333333333332E-5</v>
          </cell>
          <cell r="P113">
            <v>5.0476709937821163E-3</v>
          </cell>
          <cell r="Q113">
            <v>2.8827648147808693E-2</v>
          </cell>
          <cell r="R113">
            <v>2.7403604776210955E-2</v>
          </cell>
          <cell r="S113">
            <v>6.8669948749895404E-3</v>
          </cell>
          <cell r="T113">
            <v>-3.1040847054252363E-2</v>
          </cell>
          <cell r="U113">
            <v>-1.8793100422888731E-2</v>
          </cell>
          <cell r="V113">
            <v>1.7400226083439385E-3</v>
          </cell>
          <cell r="W113">
            <v>6.1657906354378955E-2</v>
          </cell>
          <cell r="X113">
            <v>-3.4130387039484344E-2</v>
          </cell>
          <cell r="Z113">
            <v>42034</v>
          </cell>
          <cell r="AA113">
            <v>2.3235760358941704E-4</v>
          </cell>
          <cell r="AB113">
            <v>9.6621364534585918E-3</v>
          </cell>
          <cell r="AC113">
            <v>7.3620277307371085E-2</v>
          </cell>
          <cell r="AD113">
            <v>8.5240054099220641E-2</v>
          </cell>
          <cell r="AE113">
            <v>2.4545998802633973E-2</v>
          </cell>
          <cell r="AF113">
            <v>0.11915246916004207</v>
          </cell>
          <cell r="AG113">
            <v>4.9472617394241913E-2</v>
          </cell>
          <cell r="AH113">
            <v>4.0857887615714406E-2</v>
          </cell>
          <cell r="AI113">
            <v>0.31564037845012249</v>
          </cell>
          <cell r="AJ113">
            <v>-5.1299532526314029E-2</v>
          </cell>
        </row>
        <row r="114">
          <cell r="O114">
            <v>0</v>
          </cell>
          <cell r="P114">
            <v>-2.1577567665429509E-3</v>
          </cell>
          <cell r="Q114">
            <v>-1.7481816683666107E-2</v>
          </cell>
          <cell r="R114">
            <v>-8.3607142066883799E-3</v>
          </cell>
          <cell r="S114">
            <v>2.3854808771969882E-2</v>
          </cell>
          <cell r="T114">
            <v>5.4892505726845675E-2</v>
          </cell>
          <cell r="U114">
            <v>5.6821297852808206E-2</v>
          </cell>
          <cell r="V114">
            <v>1.8316968696278524E-2</v>
          </cell>
          <cell r="W114">
            <v>-3.0393079151976643E-2</v>
          </cell>
          <cell r="X114">
            <v>4.9937771905749218E-2</v>
          </cell>
          <cell r="Z114">
            <v>42062</v>
          </cell>
          <cell r="AA114">
            <v>2.1543729244188903E-4</v>
          </cell>
          <cell r="AB114">
            <v>6.5737091924191748E-3</v>
          </cell>
          <cell r="AC114">
            <v>5.1570009077716694E-2</v>
          </cell>
          <cell r="AD114">
            <v>6.4485766093058894E-2</v>
          </cell>
          <cell r="AE114">
            <v>2.8423787479032514E-2</v>
          </cell>
          <cell r="AF114">
            <v>0.13178628088951005</v>
          </cell>
          <cell r="AG114">
            <v>5.8171183001073823E-2</v>
          </cell>
          <cell r="AH114">
            <v>4.3575446268983464E-2</v>
          </cell>
          <cell r="AI114">
            <v>0.21877734446737152</v>
          </cell>
          <cell r="AJ114">
            <v>-4.8862915365776916E-2</v>
          </cell>
        </row>
        <row r="115">
          <cell r="O115">
            <v>8.4166666666666668E-6</v>
          </cell>
          <cell r="P115">
            <v>2.3251483239266069E-3</v>
          </cell>
          <cell r="Q115">
            <v>6.5880564035545319E-3</v>
          </cell>
          <cell r="R115">
            <v>3.7165680952275792E-3</v>
          </cell>
          <cell r="S115">
            <v>-5.3015890778871366E-3</v>
          </cell>
          <cell r="T115">
            <v>-1.7396056070325572E-2</v>
          </cell>
          <cell r="U115">
            <v>-1.807813363717381E-2</v>
          </cell>
          <cell r="V115">
            <v>6.0464427522566311E-3</v>
          </cell>
          <cell r="W115">
            <v>1.0117456310984263E-2</v>
          </cell>
          <cell r="X115">
            <v>1.2128288720708813E-2</v>
          </cell>
          <cell r="Z115">
            <v>42094</v>
          </cell>
          <cell r="AA115">
            <v>1.8584871012183868E-4</v>
          </cell>
          <cell r="AB115">
            <v>1.0032400769901972E-2</v>
          </cell>
          <cell r="AC115">
            <v>6.148905990809217E-2</v>
          </cell>
          <cell r="AD115">
            <v>6.7682479145671826E-2</v>
          </cell>
          <cell r="AE115">
            <v>2.0598847773481532E-2</v>
          </cell>
          <cell r="AF115">
            <v>0.10444150100943195</v>
          </cell>
          <cell r="AG115">
            <v>3.9991158214197631E-2</v>
          </cell>
          <cell r="AH115">
            <v>5.6324993017980773E-2</v>
          </cell>
          <cell r="AI115">
            <v>0.22677468931344302</v>
          </cell>
          <cell r="AJ115">
            <v>-1.7576680451107274E-2</v>
          </cell>
        </row>
        <row r="116">
          <cell r="O116">
            <v>1.6916666666666667E-5</v>
          </cell>
          <cell r="P116">
            <v>4.5665826855323388E-4</v>
          </cell>
          <cell r="Q116">
            <v>-6.1820809081205574E-3</v>
          </cell>
          <cell r="R116">
            <v>-5.341883159823646E-3</v>
          </cell>
          <cell r="S116">
            <v>1.202098187289935E-2</v>
          </cell>
          <cell r="T116">
            <v>8.5207627098153882E-3</v>
          </cell>
          <cell r="U116">
            <v>2.1593396177641555E-2</v>
          </cell>
          <cell r="V116">
            <v>-1.9388279982579526E-4</v>
          </cell>
          <cell r="W116">
            <v>-4.9485930589829974E-2</v>
          </cell>
          <cell r="X116">
            <v>-2.7343051697233389E-2</v>
          </cell>
          <cell r="Z116">
            <v>42124</v>
          </cell>
          <cell r="AA116">
            <v>1.7743069248465915E-4</v>
          </cell>
          <cell r="AB116">
            <v>9.1574241515348653E-3</v>
          </cell>
          <cell r="AC116">
            <v>4.8381503086325495E-2</v>
          </cell>
          <cell r="AD116">
            <v>4.9739588821943848E-2</v>
          </cell>
          <cell r="AE116">
            <v>2.5765363574423494E-2</v>
          </cell>
          <cell r="AF116">
            <v>0.10698797738793453</v>
          </cell>
          <cell r="AG116">
            <v>5.3716804721106515E-2</v>
          </cell>
          <cell r="AH116">
            <v>6.3387101810072455E-2</v>
          </cell>
          <cell r="AI116">
            <v>0.13216488048817765</v>
          </cell>
          <cell r="AJ116">
            <v>2.3238197987792253E-2</v>
          </cell>
        </row>
        <row r="117">
          <cell r="O117">
            <v>0</v>
          </cell>
          <cell r="P117">
            <v>7.428156879896175E-4</v>
          </cell>
          <cell r="Q117">
            <v>-2.3382848175917958E-3</v>
          </cell>
          <cell r="R117">
            <v>-5.0527397229136461E-3</v>
          </cell>
          <cell r="S117">
            <v>2.9431464152809284E-3</v>
          </cell>
          <cell r="T117">
            <v>1.0491438545008114E-2</v>
          </cell>
          <cell r="U117">
            <v>5.1169590643262985E-4</v>
          </cell>
          <cell r="V117">
            <v>9.3528241236220389E-3</v>
          </cell>
          <cell r="W117">
            <v>-2.2127570128632756E-3</v>
          </cell>
          <cell r="X117">
            <v>3.1398585286663616E-2</v>
          </cell>
          <cell r="Z117">
            <v>42153</v>
          </cell>
          <cell r="AA117">
            <v>1.5634406289710689E-4</v>
          </cell>
          <cell r="AB117">
            <v>8.0549783962249322E-3</v>
          </cell>
          <cell r="AC117">
            <v>3.4643654146201408E-2</v>
          </cell>
          <cell r="AD117">
            <v>2.8703546308184391E-2</v>
          </cell>
          <cell r="AE117">
            <v>1.857193661832679E-2</v>
          </cell>
          <cell r="AF117">
            <v>9.5561897929370865E-2</v>
          </cell>
          <cell r="AG117">
            <v>3.7389661726465739E-2</v>
          </cell>
          <cell r="AH117">
            <v>6.0660641404301163E-2</v>
          </cell>
          <cell r="AI117">
            <v>9.7673146856971815E-2</v>
          </cell>
          <cell r="AJ117">
            <v>5.8342761436236401E-2</v>
          </cell>
        </row>
        <row r="118">
          <cell r="O118">
            <v>0</v>
          </cell>
          <cell r="P118">
            <v>2.5320231558723094E-4</v>
          </cell>
          <cell r="Q118">
            <v>-9.962299900720839E-3</v>
          </cell>
          <cell r="R118">
            <v>-1.639343013945227E-2</v>
          </cell>
          <cell r="S118">
            <v>-1.5232294570464266E-2</v>
          </cell>
          <cell r="T118">
            <v>-2.10117728564716E-2</v>
          </cell>
          <cell r="U118">
            <v>-2.4560082279085793E-2</v>
          </cell>
          <cell r="V118">
            <v>-1.098083826675933E-2</v>
          </cell>
          <cell r="W118">
            <v>-4.1164857282350753E-2</v>
          </cell>
          <cell r="X118">
            <v>1.4612741634211446E-2</v>
          </cell>
          <cell r="Z118">
            <v>42185</v>
          </cell>
          <cell r="AA118">
            <v>1.3100741070948274E-4</v>
          </cell>
          <cell r="AB118">
            <v>8.7581602179263029E-3</v>
          </cell>
          <cell r="AC118">
            <v>2.593762838870517E-2</v>
          </cell>
          <cell r="AD118">
            <v>1.0148556663622132E-2</v>
          </cell>
          <cell r="AE118">
            <v>-5.3903226077300914E-3</v>
          </cell>
          <cell r="AF118">
            <v>5.2483637124214999E-2</v>
          </cell>
          <cell r="AG118">
            <v>-4.4797008179328079E-3</v>
          </cell>
          <cell r="AH118">
            <v>3.8518477681297014E-2</v>
          </cell>
          <cell r="AI118">
            <v>4.138108551627262E-2</v>
          </cell>
          <cell r="AJ118">
            <v>1.4801392000619362E-2</v>
          </cell>
        </row>
        <row r="119">
          <cell r="O119">
            <v>4.25E-6</v>
          </cell>
          <cell r="P119">
            <v>5.2014702822655856E-4</v>
          </cell>
          <cell r="Q119">
            <v>9.3933699796231451E-3</v>
          </cell>
          <cell r="R119">
            <v>5.3891014886802147E-3</v>
          </cell>
          <cell r="S119">
            <v>-6.1342615390241884E-3</v>
          </cell>
          <cell r="T119">
            <v>1.9742039930008559E-2</v>
          </cell>
          <cell r="U119">
            <v>1.7279227476218795E-2</v>
          </cell>
          <cell r="V119">
            <v>4.8657597218020321E-3</v>
          </cell>
          <cell r="W119">
            <v>4.9871515288270274E-2</v>
          </cell>
          <cell r="X119">
            <v>-8.6567911548922627E-3</v>
          </cell>
          <cell r="Z119">
            <v>42216</v>
          </cell>
          <cell r="AA119">
            <v>1.1833929891791328E-4</v>
          </cell>
          <cell r="AB119">
            <v>1.0071660371149704E-2</v>
          </cell>
          <cell r="AC119">
            <v>3.7126302562092706E-2</v>
          </cell>
          <cell r="AD119">
            <v>1.6787888824033592E-2</v>
          </cell>
          <cell r="AE119">
            <v>1.7158447628446982E-3</v>
          </cell>
          <cell r="AF119">
            <v>8.9694251218489063E-2</v>
          </cell>
          <cell r="AG119">
            <v>2.9894712281622882E-2</v>
          </cell>
          <cell r="AH119">
            <v>4.8037787462397841E-2</v>
          </cell>
          <cell r="AI119">
            <v>9.2969111008424532E-2</v>
          </cell>
          <cell r="AJ119">
            <v>8.1821358556929846E-2</v>
          </cell>
        </row>
        <row r="120">
          <cell r="O120">
            <v>5.0833333333333333E-5</v>
          </cell>
          <cell r="P120">
            <v>-4.245659030255311E-4</v>
          </cell>
          <cell r="Q120">
            <v>5.7009692297005365E-4</v>
          </cell>
          <cell r="R120">
            <v>-6.7093163473843642E-3</v>
          </cell>
          <cell r="S120">
            <v>-1.7698137887491971E-2</v>
          </cell>
          <cell r="T120">
            <v>-6.258080462392579E-2</v>
          </cell>
          <cell r="U120">
            <v>-6.806184866334386E-2</v>
          </cell>
          <cell r="V120">
            <v>-1.6784729683966271E-2</v>
          </cell>
          <cell r="W120">
            <v>-5.8197253878061184E-2</v>
          </cell>
          <cell r="X120">
            <v>-6.1800803717803166E-2</v>
          </cell>
          <cell r="Z120">
            <v>42247</v>
          </cell>
          <cell r="AA120">
            <v>1.5225940544394412E-4</v>
          </cell>
          <cell r="AB120">
            <v>7.9623107389403813E-3</v>
          </cell>
          <cell r="AC120">
            <v>2.5234890934227483E-2</v>
          </cell>
          <cell r="AD120">
            <v>-4.2422387410455675E-3</v>
          </cell>
          <cell r="AE120">
            <v>-3.0771164778679694E-2</v>
          </cell>
          <cell r="AF120">
            <v>-1.556876662823159E-2</v>
          </cell>
          <cell r="AG120">
            <v>-5.9049917366714832E-2</v>
          </cell>
          <cell r="AH120">
            <v>2.2171771547204733E-2</v>
          </cell>
          <cell r="AI120">
            <v>-3.2809577254017119E-3</v>
          </cell>
          <cell r="AJ120">
            <v>-2.5993965648685502E-2</v>
          </cell>
        </row>
        <row r="121">
          <cell r="O121">
            <v>0</v>
          </cell>
          <cell r="P121">
            <v>3.025233393722182E-3</v>
          </cell>
          <cell r="Q121">
            <v>8.9755328959022496E-3</v>
          </cell>
          <cell r="R121">
            <v>5.2409861317948003E-3</v>
          </cell>
          <cell r="S121">
            <v>-2.5637699956766014E-2</v>
          </cell>
          <cell r="T121">
            <v>-2.6442819620927094E-2</v>
          </cell>
          <cell r="U121">
            <v>-3.8597813337546971E-2</v>
          </cell>
          <cell r="V121">
            <v>-1.7603409999926489E-2</v>
          </cell>
          <cell r="W121">
            <v>2.1329990278617261E-2</v>
          </cell>
          <cell r="X121">
            <v>-5.7876888444267416E-2</v>
          </cell>
          <cell r="Z121">
            <v>42277</v>
          </cell>
          <cell r="AA121">
            <v>1.3534044926810651E-4</v>
          </cell>
          <cell r="AB121">
            <v>1.157729371252314E-2</v>
          </cell>
          <cell r="AC121">
            <v>4.1026458228993645E-2</v>
          </cell>
          <cell r="AD121">
            <v>1.3577134727824403E-2</v>
          </cell>
          <cell r="AE121">
            <v>-3.5357801201897243E-2</v>
          </cell>
          <cell r="AF121">
            <v>-2.6497117563847095E-2</v>
          </cell>
          <cell r="AG121">
            <v>-6.8587679064536999E-2</v>
          </cell>
          <cell r="AH121">
            <v>4.3567666566899366E-3</v>
          </cell>
          <cell r="AI121">
            <v>7.8428326272110382E-2</v>
          </cell>
          <cell r="AJ121">
            <v>-2.7007234863578256E-2</v>
          </cell>
        </row>
        <row r="122">
          <cell r="O122">
            <v>-1.6916666666666667E-5</v>
          </cell>
          <cell r="P122">
            <v>-9.7742671460165909E-4</v>
          </cell>
          <cell r="Q122">
            <v>-3.5650933433152288E-3</v>
          </cell>
          <cell r="R122">
            <v>5.3601883874283551E-3</v>
          </cell>
          <cell r="S122">
            <v>2.7181967431335163E-2</v>
          </cell>
          <cell r="T122">
            <v>8.2983078389400333E-2</v>
          </cell>
          <cell r="U122">
            <v>7.8309901891372435E-2</v>
          </cell>
          <cell r="V122">
            <v>6.5510692940444759E-3</v>
          </cell>
          <cell r="W122">
            <v>6.4710858790955506E-2</v>
          </cell>
          <cell r="X122">
            <v>3.9538167190084961E-2</v>
          </cell>
          <cell r="Z122">
            <v>42307</v>
          </cell>
          <cell r="AA122">
            <v>1.0575348688157682E-4</v>
          </cell>
          <cell r="AB122">
            <v>7.8220287929473553E-3</v>
          </cell>
          <cell r="AC122">
            <v>2.6174740252944639E-2</v>
          </cell>
          <cell r="AD122">
            <v>9.5883165189942776E-3</v>
          </cell>
          <cell r="AE122">
            <v>-2.025545746184676E-2</v>
          </cell>
          <cell r="AF122">
            <v>3.0380813161219766E-2</v>
          </cell>
          <cell r="AG122">
            <v>-1.3406787698539979E-3</v>
          </cell>
          <cell r="AH122">
            <v>1.7065891717693349E-2</v>
          </cell>
          <cell r="AI122">
            <v>5.3513116459029231E-2</v>
          </cell>
          <cell r="AJ122">
            <v>-1.8821977649730148E-2</v>
          </cell>
        </row>
        <row r="123">
          <cell r="O123">
            <v>5.933333333333333E-5</v>
          </cell>
          <cell r="P123">
            <v>-2.4550406621516307E-3</v>
          </cell>
          <cell r="Q123">
            <v>-4.225256655618348E-3</v>
          </cell>
          <cell r="R123">
            <v>-2.2383480101869635E-3</v>
          </cell>
          <cell r="S123">
            <v>-2.2307080899886089E-2</v>
          </cell>
          <cell r="T123">
            <v>5.0496306555847248E-4</v>
          </cell>
          <cell r="U123">
            <v>-6.6830812521982974E-3</v>
          </cell>
          <cell r="V123">
            <v>4.5484707354561671E-3</v>
          </cell>
          <cell r="W123">
            <v>-1.7051298867158948E-3</v>
          </cell>
          <cell r="X123">
            <v>4.2856835927226333E-2</v>
          </cell>
          <cell r="Z123">
            <v>42338</v>
          </cell>
          <cell r="AA123">
            <v>1.6084241134195487E-4</v>
          </cell>
          <cell r="AB123">
            <v>3.8984114713238593E-3</v>
          </cell>
          <cell r="AC123">
            <v>1.2504791107704527E-2</v>
          </cell>
          <cell r="AD123">
            <v>9.7117264094337408E-4</v>
          </cell>
          <cell r="AE123">
            <v>-3.5262157331340638E-2</v>
          </cell>
          <cell r="AF123">
            <v>6.2150554276534375E-3</v>
          </cell>
          <cell r="AG123">
            <v>-2.5926990514515635E-2</v>
          </cell>
          <cell r="AH123">
            <v>7.9056946108491122E-3</v>
          </cell>
          <cell r="AI123">
            <v>2.7701972823924059E-2</v>
          </cell>
          <cell r="AJ123">
            <v>3.6223315613523432E-2</v>
          </cell>
        </row>
        <row r="124">
          <cell r="O124">
            <v>1.3983333333333334E-4</v>
          </cell>
          <cell r="P124">
            <v>-9.365642487412229E-4</v>
          </cell>
          <cell r="Q124">
            <v>-1.5686691398054675E-3</v>
          </cell>
          <cell r="R124">
            <v>-8.6713379184790718E-3</v>
          </cell>
          <cell r="S124">
            <v>-2.5785129809306584E-2</v>
          </cell>
          <cell r="T124">
            <v>-1.7530198374358763E-2</v>
          </cell>
          <cell r="U124">
            <v>-1.8655571293673345E-2</v>
          </cell>
          <cell r="V124">
            <v>-6.8836839044544851E-3</v>
          </cell>
          <cell r="W124">
            <v>1.3104902842127064E-2</v>
          </cell>
          <cell r="X124">
            <v>-4.867506855543402E-2</v>
          </cell>
          <cell r="Z124">
            <v>42369</v>
          </cell>
          <cell r="AA124">
            <v>2.9227910912266175E-4</v>
          </cell>
          <cell r="AB124">
            <v>5.407221555580044E-3</v>
          </cell>
          <cell r="AC124">
            <v>8.309134090427106E-3</v>
          </cell>
          <cell r="AD124">
            <v>-6.3164692505119913E-3</v>
          </cell>
          <cell r="AE124">
            <v>-4.6107789612120365E-2</v>
          </cell>
          <cell r="AF124">
            <v>-7.26601583369757E-3</v>
          </cell>
          <cell r="AG124">
            <v>-2.7420496353097734E-2</v>
          </cell>
          <cell r="AH124">
            <v>-1.6797697862648286E-3</v>
          </cell>
          <cell r="AI124">
            <v>2.8252445787013913E-2</v>
          </cell>
          <cell r="AJ124">
            <v>-5.5884943944437215E-2</v>
          </cell>
        </row>
        <row r="125">
          <cell r="O125">
            <v>1.3558333333333334E-4</v>
          </cell>
          <cell r="P125">
            <v>6.0925064514252281E-3</v>
          </cell>
          <cell r="Q125">
            <v>2.1998469118457598E-2</v>
          </cell>
          <cell r="R125">
            <v>4.3871656211247334E-3</v>
          </cell>
          <cell r="S125">
            <v>-1.5818881068137336E-2</v>
          </cell>
          <cell r="T125">
            <v>-5.0735344481736222E-2</v>
          </cell>
          <cell r="U125">
            <v>-6.0506738674156013E-2</v>
          </cell>
          <cell r="V125">
            <v>-1.9818491900314816E-2</v>
          </cell>
          <cell r="W125">
            <v>-3.5196044369786406E-2</v>
          </cell>
          <cell r="X125">
            <v>-0.10899116125409236</v>
          </cell>
          <cell r="Z125">
            <v>42398</v>
          </cell>
          <cell r="AA125">
            <v>3.9830695405118632E-4</v>
          </cell>
          <cell r="AB125">
            <v>6.4524307976576711E-3</v>
          </cell>
          <cell r="AC125">
            <v>1.6161533894996083E-3</v>
          </cell>
          <cell r="AD125">
            <v>-2.8577493465906545E-2</v>
          </cell>
          <cell r="AE125">
            <v>-6.7600082495016145E-2</v>
          </cell>
          <cell r="AF125">
            <v>-2.7443746585195772E-2</v>
          </cell>
          <cell r="AG125">
            <v>-6.8767361732059995E-2</v>
          </cell>
          <cell r="AH125">
            <v>-2.3164686712425553E-2</v>
          </cell>
          <cell r="AI125">
            <v>-6.5553959383782279E-2</v>
          </cell>
          <cell r="AJ125">
            <v>-0.12905960757978319</v>
          </cell>
        </row>
        <row r="126">
          <cell r="O126">
            <v>2.5858333333333338E-4</v>
          </cell>
          <cell r="P126">
            <v>1.1526283550027383E-3</v>
          </cell>
          <cell r="Q126">
            <v>9.8407227159911237E-3</v>
          </cell>
          <cell r="R126">
            <v>7.3469230175275957E-3</v>
          </cell>
          <cell r="S126">
            <v>4.6511342131780875E-3</v>
          </cell>
          <cell r="T126">
            <v>-4.1283552550199776E-3</v>
          </cell>
          <cell r="U126">
            <v>-9.608367793724093E-3</v>
          </cell>
          <cell r="V126">
            <v>-1.0674167849841876E-2</v>
          </cell>
          <cell r="W126">
            <v>-4.2787800666013176E-3</v>
          </cell>
          <cell r="X126">
            <v>-1.1605799253826099E-2</v>
          </cell>
          <cell r="Z126">
            <v>42429</v>
          </cell>
          <cell r="AA126">
            <v>6.5699328292434522E-4</v>
          </cell>
          <cell r="AB126">
            <v>9.7913805916247654E-3</v>
          </cell>
          <cell r="AC126">
            <v>2.9469782237309561E-2</v>
          </cell>
          <cell r="AD126">
            <v>-1.3190091471370624E-2</v>
          </cell>
          <cell r="AE126">
            <v>-8.5088406445837039E-2</v>
          </cell>
          <cell r="AF126">
            <v>-8.1857923497267615E-2</v>
          </cell>
          <cell r="AG126">
            <v>-0.12730277630495357</v>
          </cell>
          <cell r="AH126">
            <v>-5.0974854686793303E-2</v>
          </cell>
          <cell r="AI126">
            <v>-4.0386643784947385E-2</v>
          </cell>
          <cell r="AJ126">
            <v>-0.18011099695819466</v>
          </cell>
        </row>
        <row r="127">
          <cell r="O127">
            <v>2.6283333333333334E-4</v>
          </cell>
          <cell r="P127">
            <v>1.7450488010437581E-3</v>
          </cell>
          <cell r="Q127">
            <v>1.3902308915594297E-3</v>
          </cell>
          <cell r="R127">
            <v>2.7141723803574269E-2</v>
          </cell>
          <cell r="S127">
            <v>4.4204436344510878E-2</v>
          </cell>
          <cell r="T127">
            <v>6.5991108718941094E-2</v>
          </cell>
          <cell r="U127">
            <v>6.5248162774614205E-2</v>
          </cell>
          <cell r="V127">
            <v>1.8839440904836469E-3</v>
          </cell>
          <cell r="W127">
            <v>0.10171169052442064</v>
          </cell>
          <cell r="X127">
            <v>5.8208810944742062E-2</v>
          </cell>
          <cell r="Z127">
            <v>42460</v>
          </cell>
          <cell r="AA127">
            <v>9.1157495690330492E-4</v>
          </cell>
          <cell r="AB127">
            <v>9.2069599581887651E-3</v>
          </cell>
          <cell r="AC127">
            <v>2.4153799930645148E-2</v>
          </cell>
          <cell r="AD127">
            <v>9.8404895677473014E-3</v>
          </cell>
          <cell r="AE127">
            <v>-3.9553361740426674E-2</v>
          </cell>
          <cell r="AF127">
            <v>-3.9412154418270173E-3</v>
          </cell>
          <cell r="AG127">
            <v>-5.3245328324170837E-2</v>
          </cell>
          <cell r="AH127">
            <v>-5.4901428778689088E-2</v>
          </cell>
          <cell r="AI127">
            <v>4.6628039462387028E-2</v>
          </cell>
          <cell r="AJ127">
            <v>-0.14278281055441155</v>
          </cell>
        </row>
        <row r="128">
          <cell r="O128">
            <v>1.6525000000000001E-4</v>
          </cell>
          <cell r="P128">
            <v>3.6216580311787538E-4</v>
          </cell>
          <cell r="Q128">
            <v>-1.2004718966450723E-3</v>
          </cell>
          <cell r="R128">
            <v>1.3602736367879897E-2</v>
          </cell>
          <cell r="S128">
            <v>3.9958182276078835E-2</v>
          </cell>
          <cell r="T128">
            <v>2.69936982337593E-3</v>
          </cell>
          <cell r="U128">
            <v>1.3761133898017253E-2</v>
          </cell>
          <cell r="V128">
            <v>4.1334144080384938E-3</v>
          </cell>
          <cell r="W128">
            <v>-1.8136298910351623E-2</v>
          </cell>
          <cell r="X128">
            <v>3.3984880828749731E-2</v>
          </cell>
          <cell r="Z128">
            <v>42489</v>
          </cell>
          <cell r="AA128">
            <v>1.0600409956380563E-3</v>
          </cell>
          <cell r="AB128">
            <v>9.1116410325833286E-3</v>
          </cell>
          <cell r="AC128">
            <v>2.9287470496309309E-2</v>
          </cell>
          <cell r="AD128">
            <v>2.9074278077216631E-2</v>
          </cell>
          <cell r="AE128">
            <v>-1.3039889499998791E-2</v>
          </cell>
          <cell r="AF128">
            <v>-9.6906751825689419E-3</v>
          </cell>
          <cell r="AG128">
            <v>-6.0503823661718026E-2</v>
          </cell>
          <cell r="AH128">
            <v>-5.0810913289690673E-2</v>
          </cell>
          <cell r="AI128">
            <v>8.1147679516659021E-2</v>
          </cell>
          <cell r="AJ128">
            <v>-8.8733581742376666E-2</v>
          </cell>
        </row>
        <row r="129">
          <cell r="O129">
            <v>1.7374999999999999E-4</v>
          </cell>
          <cell r="P129">
            <v>-1.0628856830331435E-3</v>
          </cell>
          <cell r="Q129">
            <v>3.748514902548461E-4</v>
          </cell>
          <cell r="R129">
            <v>-6.4936379649593867E-4</v>
          </cell>
          <cell r="S129">
            <v>7.2143205106904862E-3</v>
          </cell>
          <cell r="T129">
            <v>1.5329492083474561E-2</v>
          </cell>
          <cell r="U129">
            <v>2.2803447450323588E-3</v>
          </cell>
          <cell r="V129">
            <v>4.6060075648992616E-3</v>
          </cell>
          <cell r="W129">
            <v>2.3136088067416738E-2</v>
          </cell>
          <cell r="X129">
            <v>4.0540901846650712E-3</v>
          </cell>
          <cell r="Z129">
            <v>42521</v>
          </cell>
          <cell r="AA129">
            <v>1.2339751777610264E-3</v>
          </cell>
          <cell r="AB129">
            <v>7.2908392789630128E-3</v>
          </cell>
          <cell r="AC129">
            <v>3.2086612895899647E-2</v>
          </cell>
          <cell r="AD129">
            <v>3.3628691244120601E-2</v>
          </cell>
          <cell r="AE129">
            <v>-8.8367814053503801E-3</v>
          </cell>
          <cell r="AF129">
            <v>-4.9492500201668843E-3</v>
          </cell>
          <cell r="AG129">
            <v>-5.8843034659502691E-2</v>
          </cell>
          <cell r="AH129">
            <v>-5.5274789910898514E-2</v>
          </cell>
          <cell r="AI129">
            <v>0.10861430151407547</v>
          </cell>
          <cell r="AJ129">
            <v>-0.11289312633176141</v>
          </cell>
        </row>
        <row r="130">
          <cell r="O130">
            <v>2.3741666666666665E-4</v>
          </cell>
          <cell r="P130">
            <v>5.9906889937983987E-3</v>
          </cell>
          <cell r="Q130">
            <v>2.3245915429732422E-2</v>
          </cell>
          <cell r="R130">
            <v>2.179508100404437E-2</v>
          </cell>
          <cell r="S130">
            <v>1.084182068780426E-2</v>
          </cell>
          <cell r="T130">
            <v>9.0607355409733081E-4</v>
          </cell>
          <cell r="U130">
            <v>-1.2767151754736861E-2</v>
          </cell>
          <cell r="V130">
            <v>-4.1309263733818602E-3</v>
          </cell>
          <cell r="W130">
            <v>6.9189455695406243E-2</v>
          </cell>
          <cell r="X130">
            <v>-1.5839829545465478E-2</v>
          </cell>
          <cell r="Z130">
            <v>42551</v>
          </cell>
          <cell r="AA130">
            <v>1.471684810701257E-3</v>
          </cell>
          <cell r="AB130">
            <v>1.3068694084194199E-2</v>
          </cell>
          <cell r="AC130">
            <v>6.6705248607740186E-2</v>
          </cell>
          <cell r="AD130">
            <v>7.3759310541844592E-2</v>
          </cell>
          <cell r="AE130">
            <v>1.7406670587341688E-2</v>
          </cell>
          <cell r="AF130">
            <v>1.73282083844295E-2</v>
          </cell>
          <cell r="AG130">
            <v>-4.7464580176421522E-2</v>
          </cell>
          <cell r="AH130">
            <v>-4.8731656367133835E-2</v>
          </cell>
          <cell r="AI130">
            <v>0.23620700661054239</v>
          </cell>
          <cell r="AJ130">
            <v>-0.13951873835674988</v>
          </cell>
        </row>
        <row r="131">
          <cell r="O131">
            <v>2.1558333333333333E-4</v>
          </cell>
          <cell r="P131">
            <v>-5.7077088298329581E-4</v>
          </cell>
          <cell r="Q131">
            <v>4.2456896419305057E-3</v>
          </cell>
          <cell r="R131">
            <v>1.4501917690883159E-2</v>
          </cell>
          <cell r="S131">
            <v>2.5256729734737915E-2</v>
          </cell>
          <cell r="T131">
            <v>3.5609807228685897E-2</v>
          </cell>
          <cell r="U131">
            <v>4.1470333831348238E-2</v>
          </cell>
          <cell r="V131">
            <v>1.3747623526983777E-2</v>
          </cell>
          <cell r="W131">
            <v>3.8891123826907625E-2</v>
          </cell>
          <cell r="X131">
            <v>5.4431207944801496E-2</v>
          </cell>
          <cell r="Z131">
            <v>42580</v>
          </cell>
          <cell r="AA131">
            <v>1.6833282606065758E-3</v>
          </cell>
          <cell r="AB131">
            <v>1.1964093855058477E-2</v>
          </cell>
          <cell r="AC131">
            <v>6.1265290512431125E-2</v>
          </cell>
          <cell r="AD131">
            <v>8.3491832237060581E-2</v>
          </cell>
          <cell r="AE131">
            <v>4.9541196089478712E-2</v>
          </cell>
          <cell r="AF131">
            <v>3.3158415088599735E-2</v>
          </cell>
          <cell r="AG131">
            <v>-2.4813094698685756E-2</v>
          </cell>
          <cell r="AH131">
            <v>-4.0323532407703477E-2</v>
          </cell>
          <cell r="AI131">
            <v>0.22327777035429808</v>
          </cell>
          <cell r="AJ131">
            <v>-8.475865065403132E-2</v>
          </cell>
        </row>
        <row r="132">
          <cell r="O132">
            <v>2.1133333333333334E-4</v>
          </cell>
          <cell r="P132">
            <v>-1.6602050811351798E-3</v>
          </cell>
          <cell r="Q132">
            <v>-5.7267215803793459E-3</v>
          </cell>
          <cell r="R132">
            <v>2.7415164014816806E-3</v>
          </cell>
          <cell r="S132">
            <v>2.2274136158986213E-2</v>
          </cell>
          <cell r="T132">
            <v>-1.2191755612808164E-3</v>
          </cell>
          <cell r="U132">
            <v>-1.3183953908432189E-3</v>
          </cell>
          <cell r="V132">
            <v>2.9105835379368283E-3</v>
          </cell>
          <cell r="W132">
            <v>-3.4749474350986742E-2</v>
          </cell>
          <cell r="X132">
            <v>2.4849076945562043E-2</v>
          </cell>
          <cell r="Z132">
            <v>42613</v>
          </cell>
          <cell r="AA132">
            <v>1.8440902627239186E-3</v>
          </cell>
          <cell r="AB132">
            <v>1.0713140261608967E-2</v>
          </cell>
          <cell r="AC132">
            <v>5.4586503150294341E-2</v>
          </cell>
          <cell r="AD132">
            <v>9.3800899119254266E-2</v>
          </cell>
          <cell r="AE132">
            <v>9.2249603689292581E-2</v>
          </cell>
          <cell r="AF132">
            <v>0.1007869464247686</v>
          </cell>
          <cell r="AG132">
            <v>4.5027743507775941E-2</v>
          </cell>
          <cell r="AH132">
            <v>-2.1099737587221723E-2</v>
          </cell>
          <cell r="AI132">
            <v>0.25373334884750975</v>
          </cell>
          <cell r="AJ132">
            <v>-2.2910297026679238E-4</v>
          </cell>
        </row>
        <row r="133">
          <cell r="O133">
            <v>2.7483333333333331E-4</v>
          </cell>
          <cell r="P133">
            <v>1.1621035875981622E-3</v>
          </cell>
          <cell r="Q133">
            <v>-1.8386753168915249E-3</v>
          </cell>
          <cell r="R133">
            <v>-2.8800244945604847E-3</v>
          </cell>
          <cell r="S133">
            <v>6.4677693452537266E-3</v>
          </cell>
          <cell r="T133">
            <v>-1.2344825997834263E-3</v>
          </cell>
          <cell r="U133">
            <v>3.5765795105611176E-3</v>
          </cell>
          <cell r="V133">
            <v>1.0128589559255108E-3</v>
          </cell>
          <cell r="W133">
            <v>-1.4809740874441535E-2</v>
          </cell>
          <cell r="X133">
            <v>4.1000322595745375E-2</v>
          </cell>
          <cell r="Z133">
            <v>42643</v>
          </cell>
          <cell r="AA133">
            <v>2.1194304135310205E-3</v>
          </cell>
          <cell r="AB133">
            <v>8.8357300884955858E-3</v>
          </cell>
          <cell r="AC133">
            <v>4.3283436176274614E-2</v>
          </cell>
          <cell r="AD133">
            <v>8.4964442142857033E-2</v>
          </cell>
          <cell r="AE133">
            <v>0.12823948765733406</v>
          </cell>
          <cell r="AF133">
            <v>0.12928964651593988</v>
          </cell>
          <cell r="AG133">
            <v>9.0870587640335954E-2</v>
          </cell>
          <cell r="AH133">
            <v>-2.5497235180272915E-3</v>
          </cell>
          <cell r="AI133">
            <v>0.20937003180380609</v>
          </cell>
          <cell r="AJ133">
            <v>0.10469832823777647</v>
          </cell>
        </row>
        <row r="134">
          <cell r="O134">
            <v>2.2824999999999999E-4</v>
          </cell>
          <cell r="P134">
            <v>-6.6904014583524241E-4</v>
          </cell>
          <cell r="Q134">
            <v>-1.151288919576221E-2</v>
          </cell>
          <cell r="R134">
            <v>-8.2772866137545975E-3</v>
          </cell>
          <cell r="S134">
            <v>3.1278922515842744E-3</v>
          </cell>
          <cell r="T134">
            <v>-1.9425625037472249E-2</v>
          </cell>
          <cell r="U134">
            <v>-2.0137106167459562E-2</v>
          </cell>
          <cell r="V134">
            <v>-3.5709612775044475E-3</v>
          </cell>
          <cell r="W134">
            <v>-5.1101779950321724E-2</v>
          </cell>
          <cell r="X134">
            <v>-6.1985001525921457E-2</v>
          </cell>
          <cell r="Z134">
            <v>42674</v>
          </cell>
          <cell r="AA134">
            <v>2.365120850150948E-3</v>
          </cell>
          <cell r="AB134">
            <v>9.1471458638447967E-3</v>
          </cell>
          <cell r="AC134">
            <v>3.4961965589912491E-2</v>
          </cell>
          <cell r="AD134">
            <v>7.0247154122303757E-2</v>
          </cell>
          <cell r="AE134">
            <v>0.10181889391897347</v>
          </cell>
          <cell r="AF134">
            <v>2.2502116035703512E-2</v>
          </cell>
          <cell r="AG134">
            <v>-8.72317973971104E-3</v>
          </cell>
          <cell r="AH134">
            <v>-1.2580235133529571E-2</v>
          </cell>
          <cell r="AI134">
            <v>7.7822266096909232E-2</v>
          </cell>
          <cell r="AJ134">
            <v>-3.1884991031828624E-3</v>
          </cell>
        </row>
        <row r="135">
          <cell r="O135">
            <v>2.4941666666666667E-4</v>
          </cell>
          <cell r="P135">
            <v>-3.9680668767997362E-3</v>
          </cell>
          <cell r="Q135">
            <v>-2.7309126741589806E-2</v>
          </cell>
          <cell r="R135">
            <v>-2.6791531353187459E-2</v>
          </cell>
          <cell r="S135">
            <v>-3.946680606377595E-3</v>
          </cell>
          <cell r="T135">
            <v>3.4174446769983158E-2</v>
          </cell>
          <cell r="U135">
            <v>1.2519811700139494E-2</v>
          </cell>
          <cell r="V135">
            <v>3.7140914732256558E-3</v>
          </cell>
          <cell r="W135">
            <v>-2.4222747567573477E-2</v>
          </cell>
          <cell r="X135">
            <v>0.10244622833260597</v>
          </cell>
          <cell r="Z135">
            <v>42704</v>
          </cell>
          <cell r="AA135">
            <v>2.5556424492576557E-3</v>
          </cell>
          <cell r="AB135">
            <v>7.6165220339747819E-3</v>
          </cell>
          <cell r="AC135">
            <v>1.0969664402035617E-2</v>
          </cell>
          <cell r="AD135">
            <v>4.3910228319348654E-2</v>
          </cell>
          <cell r="AE135">
            <v>0.12251029461145535</v>
          </cell>
          <cell r="AF135">
            <v>5.691185872015625E-2</v>
          </cell>
          <cell r="AG135">
            <v>1.0440273843248526E-2</v>
          </cell>
          <cell r="AH135">
            <v>-1.3400387270457337E-2</v>
          </cell>
          <cell r="AI135">
            <v>5.3510822211465081E-2</v>
          </cell>
          <cell r="AJ135">
            <v>5.3769838450717922E-2</v>
          </cell>
        </row>
        <row r="136">
          <cell r="O136">
            <v>3.9758333333333334E-4</v>
          </cell>
          <cell r="P136">
            <v>2.9691875786408417E-4</v>
          </cell>
          <cell r="Q136">
            <v>-1.1464242847030182E-3</v>
          </cell>
          <cell r="R136">
            <v>6.2562737648186317E-3</v>
          </cell>
          <cell r="S136">
            <v>1.9662022094518505E-2</v>
          </cell>
          <cell r="T136">
            <v>1.8200754044233047E-2</v>
          </cell>
          <cell r="U136">
            <v>2.2855106916108481E-2</v>
          </cell>
          <cell r="V136">
            <v>1.1094025182799561E-2</v>
          </cell>
          <cell r="W136">
            <v>4.4628686128224571E-2</v>
          </cell>
          <cell r="X136">
            <v>4.5944957468360359E-2</v>
          </cell>
          <cell r="Z136">
            <v>42734</v>
          </cell>
          <cell r="AA136">
            <v>2.8140150369986294E-3</v>
          </cell>
          <cell r="AB136">
            <v>8.8605650172604022E-3</v>
          </cell>
          <cell r="AC136">
            <v>1.1397211821937425E-2</v>
          </cell>
          <cell r="AD136">
            <v>5.9629623023274458E-2</v>
          </cell>
          <cell r="AE136">
            <v>0.17487543235856151</v>
          </cell>
          <cell r="AF136">
            <v>9.5350157049619799E-2</v>
          </cell>
          <cell r="AG136">
            <v>5.3181700635678952E-2</v>
          </cell>
          <cell r="AH136">
            <v>4.459354368852253E-3</v>
          </cell>
          <cell r="AI136">
            <v>8.629187652853032E-2</v>
          </cell>
          <cell r="AJ136">
            <v>0.15857916935503114</v>
          </cell>
        </row>
        <row r="137">
          <cell r="O137">
            <v>4.1449999999999999E-4</v>
          </cell>
          <cell r="P137">
            <v>1.2595942970663465E-3</v>
          </cell>
          <cell r="Q137">
            <v>2.2582492213598648E-3</v>
          </cell>
          <cell r="R137">
            <v>4.1011262270076454E-3</v>
          </cell>
          <cell r="S137">
            <v>1.3420556226082958E-2</v>
          </cell>
          <cell r="T137">
            <v>1.7884341374735824E-2</v>
          </cell>
          <cell r="U137">
            <v>2.3515035232580805E-2</v>
          </cell>
          <cell r="V137">
            <v>7.5129033116476673E-3</v>
          </cell>
          <cell r="W137">
            <v>1.6594689322406708E-3</v>
          </cell>
          <cell r="X137">
            <v>-8.096094125654707E-3</v>
          </cell>
          <cell r="Z137">
            <v>42766</v>
          </cell>
          <cell r="AA137">
            <v>3.0936786616331258E-3</v>
          </cell>
          <cell r="AB137">
            <v>4.0143560896914732E-3</v>
          </cell>
          <cell r="AC137">
            <v>-8.1382414766353328E-3</v>
          </cell>
          <cell r="AD137">
            <v>5.9327851131186549E-2</v>
          </cell>
          <cell r="AE137">
            <v>0.20978028459780296</v>
          </cell>
          <cell r="AF137">
            <v>0.174529955057106</v>
          </cell>
          <cell r="AG137">
            <v>0.14737098157702744</v>
          </cell>
          <cell r="AH137">
            <v>3.2467713393939501E-2</v>
          </cell>
          <cell r="AI137">
            <v>0.12778822868551298</v>
          </cell>
          <cell r="AJ137">
            <v>0.28977306775699829</v>
          </cell>
        </row>
        <row r="138">
          <cell r="O138">
            <v>4.2725000000000006E-4</v>
          </cell>
          <cell r="P138">
            <v>1.0199846529690415E-3</v>
          </cell>
          <cell r="Q138">
            <v>5.1711262346592068E-3</v>
          </cell>
          <cell r="R138">
            <v>1.1310662928395665E-2</v>
          </cell>
          <cell r="S138">
            <v>1.5589210712090962E-2</v>
          </cell>
          <cell r="T138">
            <v>3.7198260541408734E-2</v>
          </cell>
          <cell r="U138">
            <v>2.5831287659004554E-2</v>
          </cell>
          <cell r="V138">
            <v>8.7237137833338085E-3</v>
          </cell>
          <cell r="W138">
            <v>4.0141420249743875E-2</v>
          </cell>
          <cell r="X138">
            <v>1.6566408186121651E-2</v>
          </cell>
          <cell r="Z138">
            <v>42794</v>
          </cell>
          <cell r="AA138">
            <v>3.2628233907592286E-3</v>
          </cell>
          <cell r="AB138">
            <v>3.8813332345197793E-3</v>
          </cell>
          <cell r="AC138">
            <v>-1.2724701572155772E-2</v>
          </cell>
          <cell r="AD138">
            <v>6.3496127209942799E-2</v>
          </cell>
          <cell r="AE138">
            <v>0.22295169191440389</v>
          </cell>
          <cell r="AF138">
            <v>0.22327052162527172</v>
          </cell>
          <cell r="AG138">
            <v>0.18842790385025565</v>
          </cell>
          <cell r="AH138">
            <v>5.2711485307752826E-2</v>
          </cell>
          <cell r="AI138">
            <v>0.17810008106923303</v>
          </cell>
          <cell r="AJ138">
            <v>0.32653547934123961</v>
          </cell>
        </row>
        <row r="139">
          <cell r="O139">
            <v>5.0349999999999993E-4</v>
          </cell>
          <cell r="P139">
            <v>3.210493334364628E-4</v>
          </cell>
          <cell r="Q139">
            <v>-5.8683501589096299E-4</v>
          </cell>
          <cell r="R139">
            <v>-1.2306723182694546E-3</v>
          </cell>
          <cell r="S139">
            <v>-2.1003308021013689E-3</v>
          </cell>
          <cell r="T139">
            <v>-3.8923017041514463E-4</v>
          </cell>
          <cell r="U139">
            <v>8.152499048240669E-3</v>
          </cell>
          <cell r="V139">
            <v>2.6199055521012315E-3</v>
          </cell>
          <cell r="W139">
            <v>-1.5737251704356359E-2</v>
          </cell>
          <cell r="X139">
            <v>1.5649377992877467E-2</v>
          </cell>
          <cell r="Z139">
            <v>42825</v>
          </cell>
          <cell r="AA139">
            <v>3.5042118653179077E-3</v>
          </cell>
          <cell r="AB139">
            <v>2.4542969983256668E-3</v>
          </cell>
          <cell r="AC139">
            <v>-1.4673900069980372E-2</v>
          </cell>
          <cell r="AD139">
            <v>3.411952542658736E-2</v>
          </cell>
          <cell r="AE139">
            <v>0.16872045964355342</v>
          </cell>
          <cell r="AF139">
            <v>0.1470962354471923</v>
          </cell>
          <cell r="AG139">
            <v>0.12472999538868601</v>
          </cell>
          <cell r="AH139">
            <v>5.3484783540506342E-2</v>
          </cell>
          <cell r="AI139">
            <v>5.2507687386494917E-2</v>
          </cell>
          <cell r="AJ139">
            <v>0.27318438529686984</v>
          </cell>
        </row>
        <row r="140">
          <cell r="O140">
            <v>6.2633333333333334E-4</v>
          </cell>
          <cell r="P140">
            <v>1.3859044506840945E-3</v>
          </cell>
          <cell r="Q140">
            <v>7.0034395590732323E-3</v>
          </cell>
          <cell r="R140">
            <v>9.9762185769320944E-3</v>
          </cell>
          <cell r="S140">
            <v>1.1318050499001586E-2</v>
          </cell>
          <cell r="T140">
            <v>9.0912169025529899E-3</v>
          </cell>
          <cell r="U140">
            <v>1.3265432731470739E-2</v>
          </cell>
          <cell r="V140">
            <v>3.9763621055644016E-3</v>
          </cell>
          <cell r="W140">
            <v>4.3320812985214729E-3</v>
          </cell>
          <cell r="X140">
            <v>9.4768430201785936E-3</v>
          </cell>
          <cell r="Z140">
            <v>42853</v>
          </cell>
          <cell r="AA140">
            <v>3.9668344839511871E-3</v>
          </cell>
          <cell r="AB140">
            <v>3.4801766660474964E-3</v>
          </cell>
          <cell r="AC140">
            <v>-6.5806562794228363E-3</v>
          </cell>
          <cell r="AD140">
            <v>3.041960165727664E-2</v>
          </cell>
          <cell r="AE140">
            <v>0.13653425394295526</v>
          </cell>
          <cell r="AF140">
            <v>0.15440856049968521</v>
          </cell>
          <cell r="AG140">
            <v>0.12418003351687812</v>
          </cell>
          <cell r="AH140">
            <v>5.3320012397047201E-2</v>
          </cell>
          <cell r="AI140">
            <v>7.6592642219551088E-2</v>
          </cell>
          <cell r="AJ140">
            <v>0.24300671864943491</v>
          </cell>
        </row>
        <row r="141">
          <cell r="O141">
            <v>6.6025000000000003E-4</v>
          </cell>
          <cell r="P141">
            <v>1.1568926377922839E-3</v>
          </cell>
          <cell r="Q141">
            <v>6.7014878125990496E-3</v>
          </cell>
          <cell r="R141">
            <v>1.1623927349114549E-2</v>
          </cell>
          <cell r="S141">
            <v>8.894636955110613E-3</v>
          </cell>
          <cell r="T141">
            <v>1.1576210049492719E-2</v>
          </cell>
          <cell r="U141">
            <v>1.7814170411227348E-2</v>
          </cell>
          <cell r="V141">
            <v>2.3365582587326905E-3</v>
          </cell>
          <cell r="W141">
            <v>-1.2732752519705182E-3</v>
          </cell>
          <cell r="X141">
            <v>-1.2401877762159841E-2</v>
          </cell>
          <cell r="Z141">
            <v>42886</v>
          </cell>
          <cell r="AA141">
            <v>4.45517949898111E-3</v>
          </cell>
          <cell r="AB141">
            <v>5.7100503083584719E-3</v>
          </cell>
          <cell r="AC141">
            <v>-2.9800843602789673E-4</v>
          </cell>
          <cell r="AD141">
            <v>4.3074459036792634E-2</v>
          </cell>
          <cell r="AE141">
            <v>0.1384303123663293</v>
          </cell>
          <cell r="AF141">
            <v>0.15014115672211203</v>
          </cell>
          <cell r="AG141">
            <v>0.14160311953230886</v>
          </cell>
          <cell r="AH141">
            <v>5.0940516004128078E-2</v>
          </cell>
          <cell r="AI141">
            <v>5.0907944692603735E-2</v>
          </cell>
          <cell r="AJ141">
            <v>0.22263443102096603</v>
          </cell>
        </row>
        <row r="142">
          <cell r="O142">
            <v>8.0883333333333339E-4</v>
          </cell>
          <cell r="P142">
            <v>-8.0204131069117057E-4</v>
          </cell>
          <cell r="Q142">
            <v>-1.4999198156073756E-3</v>
          </cell>
          <cell r="R142">
            <v>2.4540228281686449E-3</v>
          </cell>
          <cell r="S142">
            <v>1.0608933114606423E-3</v>
          </cell>
          <cell r="T142">
            <v>4.8138319927024664E-3</v>
          </cell>
          <cell r="U142">
            <v>2.4532624729305397E-3</v>
          </cell>
          <cell r="V142">
            <v>-2.9037344609021964E-3</v>
          </cell>
          <cell r="W142">
            <v>1.9629283692721877E-2</v>
          </cell>
          <cell r="X142">
            <v>3.6731266832960907E-2</v>
          </cell>
          <cell r="Z142">
            <v>42916</v>
          </cell>
          <cell r="AA142">
            <v>5.0290056935637928E-3</v>
          </cell>
          <cell r="AB142">
            <v>-1.0807850452889678E-3</v>
          </cell>
          <cell r="AC142">
            <v>-2.447446534110187E-2</v>
          </cell>
          <cell r="AD142">
            <v>2.3330613945879097E-2</v>
          </cell>
          <cell r="AE142">
            <v>0.12741483597784087</v>
          </cell>
          <cell r="AF142">
            <v>0.1546315618955052</v>
          </cell>
          <cell r="AG142">
            <v>0.15920349860576</v>
          </cell>
          <cell r="AH142">
            <v>5.2235571484705368E-2</v>
          </cell>
          <cell r="AI142">
            <v>2.1951761364660261E-3</v>
          </cell>
          <cell r="AJ142">
            <v>0.28794415848036947</v>
          </cell>
        </row>
        <row r="143">
          <cell r="O143">
            <v>8.4275000000000007E-4</v>
          </cell>
          <cell r="P143">
            <v>2.1296426380839062E-3</v>
          </cell>
          <cell r="Q143">
            <v>1.5204383699691792E-3</v>
          </cell>
          <cell r="R143">
            <v>7.4729816467542509E-3</v>
          </cell>
          <cell r="S143">
            <v>1.1559332345523865E-2</v>
          </cell>
          <cell r="T143">
            <v>1.9348768883515444E-2</v>
          </cell>
          <cell r="U143">
            <v>2.330896510699576E-2</v>
          </cell>
          <cell r="V143">
            <v>9.3084108201244575E-3</v>
          </cell>
          <cell r="W143">
            <v>1.2650932284321348E-2</v>
          </cell>
          <cell r="X143">
            <v>-1.3990187078771754E-4</v>
          </cell>
          <cell r="Z143">
            <v>42947</v>
          </cell>
          <cell r="AA143">
            <v>5.6591905276213161E-3</v>
          </cell>
          <cell r="AB143">
            <v>1.6182504400954478E-3</v>
          </cell>
          <cell r="AC143">
            <v>-2.7121777877845532E-2</v>
          </cell>
          <cell r="AD143">
            <v>1.6240508632133999E-2</v>
          </cell>
          <cell r="AE143">
            <v>0.11235260952956416</v>
          </cell>
          <cell r="AF143">
            <v>0.13650165623849864</v>
          </cell>
          <cell r="AG143">
            <v>0.13898907532277516</v>
          </cell>
          <cell r="AH143">
            <v>4.7627819603331956E-2</v>
          </cell>
          <cell r="AI143">
            <v>-2.3118153414377618E-2</v>
          </cell>
          <cell r="AJ143">
            <v>0.22128780235281176</v>
          </cell>
        </row>
        <row r="144">
          <cell r="O144">
            <v>8.9366666666666663E-4</v>
          </cell>
          <cell r="P144">
            <v>1.8943117647360896E-3</v>
          </cell>
          <cell r="Q144">
            <v>1.1306736498137848E-2</v>
          </cell>
          <cell r="R144">
            <v>8.4693578904266875E-3</v>
          </cell>
          <cell r="S144">
            <v>-2.6919010156467582E-4</v>
          </cell>
          <cell r="T144">
            <v>5.4649232886694321E-4</v>
          </cell>
          <cell r="U144">
            <v>-6.9348834837590356E-4</v>
          </cell>
          <cell r="V144">
            <v>1.1849653249928149E-2</v>
          </cell>
          <cell r="W144">
            <v>6.4203824067796678E-3</v>
          </cell>
          <cell r="X144">
            <v>-1.5894101846673836E-2</v>
          </cell>
          <cell r="Z144">
            <v>42978</v>
          </cell>
          <cell r="AA144">
            <v>6.345240330099422E-3</v>
          </cell>
          <cell r="AB144">
            <v>5.1844399904288352E-3</v>
          </cell>
          <cell r="AC144">
            <v>-1.0454850613783928E-2</v>
          </cell>
          <cell r="AD144">
            <v>2.2045458814090368E-2</v>
          </cell>
          <cell r="AE144">
            <v>8.7822860701505912E-2</v>
          </cell>
          <cell r="AF144">
            <v>0.13851079020705259</v>
          </cell>
          <cell r="AG144">
            <v>0.13970177724016031</v>
          </cell>
          <cell r="AH144">
            <v>5.6965459733341994E-2</v>
          </cell>
          <cell r="AI144">
            <v>1.8547802339596631E-2</v>
          </cell>
          <cell r="AJ144">
            <v>0.17273514381274779</v>
          </cell>
        </row>
      </sheetData>
      <sheetData sheetId="2">
        <row r="4">
          <cell r="C4">
            <v>0.03</v>
          </cell>
          <cell r="D4">
            <v>0.03</v>
          </cell>
        </row>
        <row r="5">
          <cell r="C5">
            <v>0.04</v>
          </cell>
          <cell r="D5">
            <v>0.04</v>
          </cell>
        </row>
      </sheetData>
      <sheetData sheetId="3">
        <row r="19">
          <cell r="C19">
            <v>1.5341947763978604E-6</v>
          </cell>
          <cell r="D19">
            <v>1.9942955066371696E-6</v>
          </cell>
          <cell r="E19">
            <v>1.7279558788958729E-6</v>
          </cell>
          <cell r="F19">
            <v>-1.7496041798600717E-6</v>
          </cell>
          <cell r="G19">
            <v>-3.7049312217129023E-6</v>
          </cell>
          <cell r="H19">
            <v>-3.7445632606641503E-6</v>
          </cell>
          <cell r="I19">
            <v>-1.8952750273536431E-6</v>
          </cell>
          <cell r="J19">
            <v>1.4017016350493811E-6</v>
          </cell>
          <cell r="K19">
            <v>-6.8364439040157314E-6</v>
          </cell>
          <cell r="L19">
            <v>-7.0315487681069991E-6</v>
          </cell>
        </row>
        <row r="20">
          <cell r="C20">
            <v>1.9942955066371696E-6</v>
          </cell>
          <cell r="D20">
            <v>1.3535480640522648E-5</v>
          </cell>
          <cell r="E20">
            <v>3.3270806066055407E-5</v>
          </cell>
          <cell r="F20">
            <v>8.751606619029712E-6</v>
          </cell>
          <cell r="G20">
            <v>-3.307712480832521E-5</v>
          </cell>
          <cell r="H20">
            <v>-5.0553276725415859E-5</v>
          </cell>
          <cell r="I20">
            <v>-4.9333504881127327E-5</v>
          </cell>
          <cell r="J20">
            <v>-2.0142294142080499E-5</v>
          </cell>
          <cell r="K20">
            <v>-4.2765972155422631E-5</v>
          </cell>
          <cell r="L20">
            <v>-8.3783046147970028E-5</v>
          </cell>
        </row>
        <row r="21">
          <cell r="C21">
            <v>1.7279558788958729E-6</v>
          </cell>
          <cell r="D21">
            <v>3.3270806066055407E-5</v>
          </cell>
          <cell r="E21">
            <v>1.5295013971605421E-4</v>
          </cell>
          <cell r="F21">
            <v>8.7615423086087805E-5</v>
          </cell>
          <cell r="G21">
            <v>-8.6607632931042815E-5</v>
          </cell>
          <cell r="H21">
            <v>-1.6089195086862876E-4</v>
          </cell>
          <cell r="I21">
            <v>-1.6111999135551172E-4</v>
          </cell>
          <cell r="J21">
            <v>-6.535854840612236E-5</v>
          </cell>
          <cell r="K21">
            <v>-4.2795590121329108E-5</v>
          </cell>
          <cell r="L21">
            <v>-2.9856027517233009E-4</v>
          </cell>
        </row>
        <row r="22">
          <cell r="C22">
            <v>-1.7496041798600717E-6</v>
          </cell>
          <cell r="D22">
            <v>8.751606619029712E-6</v>
          </cell>
          <cell r="E22">
            <v>8.7615423086087805E-5</v>
          </cell>
          <cell r="F22">
            <v>2.7163505483523916E-4</v>
          </cell>
          <cell r="G22">
            <v>3.1752034706585913E-4</v>
          </cell>
          <cell r="H22">
            <v>2.5125607416955282E-4</v>
          </cell>
          <cell r="I22">
            <v>3.3775318608085005E-4</v>
          </cell>
          <cell r="J22">
            <v>9.2477293850610486E-5</v>
          </cell>
          <cell r="K22">
            <v>5.2952437114745323E-4</v>
          </cell>
          <cell r="L22">
            <v>2.7153086988256027E-4</v>
          </cell>
        </row>
        <row r="23">
          <cell r="C23">
            <v>-3.7049312217129023E-6</v>
          </cell>
          <cell r="D23">
            <v>-3.307712480832521E-5</v>
          </cell>
          <cell r="E23">
            <v>-8.6607632931042815E-5</v>
          </cell>
          <cell r="F23">
            <v>3.1752034706585913E-4</v>
          </cell>
          <cell r="G23">
            <v>8.5969760948285999E-4</v>
          </cell>
          <cell r="H23">
            <v>9.053358903338873E-4</v>
          </cell>
          <cell r="I23">
            <v>1.0437291337414198E-3</v>
          </cell>
          <cell r="J23">
            <v>2.7411561588729506E-4</v>
          </cell>
          <cell r="K23">
            <v>1.4719881718907564E-3</v>
          </cell>
          <cell r="L23">
            <v>1.218080175124507E-3</v>
          </cell>
        </row>
        <row r="24">
          <cell r="C24">
            <v>-3.7445632606641503E-6</v>
          </cell>
          <cell r="D24">
            <v>-5.0553276725415859E-5</v>
          </cell>
          <cell r="E24">
            <v>-1.6089195086862876E-4</v>
          </cell>
          <cell r="F24">
            <v>2.5125607416955282E-4</v>
          </cell>
          <cell r="G24">
            <v>9.053358903338873E-4</v>
          </cell>
          <cell r="H24">
            <v>1.8007123236824724E-3</v>
          </cell>
          <cell r="I24">
            <v>1.8847106724223463E-3</v>
          </cell>
          <cell r="J24">
            <v>4.161797717773171E-4</v>
          </cell>
          <cell r="K24">
            <v>2.2670109279133051E-3</v>
          </cell>
          <cell r="L24">
            <v>2.1406799238035076E-3</v>
          </cell>
        </row>
        <row r="25">
          <cell r="C25">
            <v>-1.8952750273536431E-6</v>
          </cell>
          <cell r="D25">
            <v>-4.9333504881127327E-5</v>
          </cell>
          <cell r="E25">
            <v>-1.6111999135551172E-4</v>
          </cell>
          <cell r="F25">
            <v>3.3775318608085005E-4</v>
          </cell>
          <cell r="G25">
            <v>1.0437291337414198E-3</v>
          </cell>
          <cell r="H25">
            <v>1.8847106724223463E-3</v>
          </cell>
          <cell r="I25">
            <v>2.0997791721933637E-3</v>
          </cell>
          <cell r="J25">
            <v>4.9046946173680178E-4</v>
          </cell>
          <cell r="K25">
            <v>2.3790912679287398E-3</v>
          </cell>
          <cell r="L25">
            <v>2.2431570160772593E-3</v>
          </cell>
        </row>
        <row r="26">
          <cell r="C26">
            <v>1.4017016350493811E-6</v>
          </cell>
          <cell r="D26">
            <v>-2.0142294142080499E-5</v>
          </cell>
          <cell r="E26">
            <v>-6.535854840612236E-5</v>
          </cell>
          <cell r="F26">
            <v>9.2477293850610486E-5</v>
          </cell>
          <cell r="G26">
            <v>2.7411561588729506E-4</v>
          </cell>
          <cell r="H26">
            <v>4.161797717773171E-4</v>
          </cell>
          <cell r="I26">
            <v>4.9046946173680178E-4</v>
          </cell>
          <cell r="J26">
            <v>2.0575365802345865E-4</v>
          </cell>
          <cell r="K26">
            <v>3.821518778766717E-4</v>
          </cell>
          <cell r="L26">
            <v>5.5152177472265541E-4</v>
          </cell>
        </row>
        <row r="27">
          <cell r="C27">
            <v>-6.8364439040157314E-6</v>
          </cell>
          <cell r="D27">
            <v>-4.2765972155422631E-5</v>
          </cell>
          <cell r="E27">
            <v>-4.2795590121329108E-5</v>
          </cell>
          <cell r="F27">
            <v>5.2952437114745323E-4</v>
          </cell>
          <cell r="G27">
            <v>1.4719881718907564E-3</v>
          </cell>
          <cell r="H27">
            <v>2.2670109279133051E-3</v>
          </cell>
          <cell r="I27">
            <v>2.3790912679287398E-3</v>
          </cell>
          <cell r="J27">
            <v>3.821518778766717E-4</v>
          </cell>
          <cell r="K27">
            <v>4.9918463264759681E-3</v>
          </cell>
          <cell r="L27">
            <v>2.8543878643756963E-3</v>
          </cell>
        </row>
        <row r="28">
          <cell r="C28">
            <v>-7.0315487681069991E-6</v>
          </cell>
          <cell r="D28">
            <v>-8.3783046147970028E-5</v>
          </cell>
          <cell r="E28">
            <v>-2.9856027517233009E-4</v>
          </cell>
          <cell r="F28">
            <v>2.7153086988256027E-4</v>
          </cell>
          <cell r="G28">
            <v>1.218080175124507E-3</v>
          </cell>
          <cell r="H28">
            <v>2.1406799238035076E-3</v>
          </cell>
          <cell r="I28">
            <v>2.2431570160772593E-3</v>
          </cell>
          <cell r="J28">
            <v>5.5152177472265541E-4</v>
          </cell>
          <cell r="K28">
            <v>2.8543878643756963E-3</v>
          </cell>
          <cell r="L28">
            <v>3.3760413482416926E-3</v>
          </cell>
        </row>
        <row r="34">
          <cell r="C34">
            <v>1.2386261649092757E-3</v>
          </cell>
          <cell r="D34">
            <v>3.679059749517891E-3</v>
          </cell>
          <cell r="E34">
            <v>1.2367301230100859E-2</v>
          </cell>
          <cell r="F34">
            <v>1.6481354763345127E-2</v>
          </cell>
          <cell r="G34">
            <v>2.9320600428416537E-2</v>
          </cell>
          <cell r="H34">
            <v>4.2434800855930412E-2</v>
          </cell>
          <cell r="I34">
            <v>4.5823347457310051E-2</v>
          </cell>
          <cell r="J34">
            <v>1.4344115797896316E-2</v>
          </cell>
          <cell r="K34">
            <v>7.0652999415990597E-2</v>
          </cell>
          <cell r="L34">
            <v>5.8103712000539973E-2</v>
          </cell>
        </row>
      </sheetData>
      <sheetData sheetId="4">
        <row r="4">
          <cell r="C4">
            <v>0</v>
          </cell>
          <cell r="D4">
            <v>1</v>
          </cell>
          <cell r="E4">
            <v>0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</row>
        <row r="5">
          <cell r="C5">
            <v>0</v>
          </cell>
          <cell r="D5">
            <v>0</v>
          </cell>
          <cell r="E5">
            <v>0</v>
          </cell>
          <cell r="F5">
            <v>1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</row>
        <row r="6"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1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</row>
        <row r="7">
          <cell r="C7">
            <v>0</v>
          </cell>
          <cell r="D7">
            <v>-1</v>
          </cell>
          <cell r="E7">
            <v>0</v>
          </cell>
          <cell r="F7">
            <v>1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</row>
        <row r="8">
          <cell r="C8">
            <v>0</v>
          </cell>
          <cell r="D8">
            <v>-1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</row>
      </sheetData>
      <sheetData sheetId="5"/>
      <sheetData sheetId="6">
        <row r="1">
          <cell r="B1">
            <v>-3.5</v>
          </cell>
        </row>
        <row r="2">
          <cell r="B2">
            <v>3.5</v>
          </cell>
        </row>
      </sheetData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Roberts Grava" id="{47A81DC0-A97A-F143-866D-47CF05E46756}" userId="S::roberts.grava@caiml.com::1d4c6714-ff35-4daa-9038-4ff1378c62a9" providerId="AD"/>
</personList>
</file>

<file path=xl/theme/theme1.xml><?xml version="1.0" encoding="utf-8"?>
<a:theme xmlns:a="http://schemas.openxmlformats.org/drawingml/2006/main" name="CAIM">
  <a:themeElements>
    <a:clrScheme name="CAIM">
      <a:dk1>
        <a:srgbClr val="2C2824"/>
      </a:dk1>
      <a:lt1>
        <a:srgbClr val="FFFFFF"/>
      </a:lt1>
      <a:dk2>
        <a:srgbClr val="D12E28"/>
      </a:dk2>
      <a:lt2>
        <a:srgbClr val="69B578"/>
      </a:lt2>
      <a:accent1>
        <a:srgbClr val="28264B"/>
      </a:accent1>
      <a:accent2>
        <a:srgbClr val="9A221D"/>
      </a:accent2>
      <a:accent3>
        <a:srgbClr val="707070"/>
      </a:accent3>
      <a:accent4>
        <a:srgbClr val="548BE9"/>
      </a:accent4>
      <a:accent5>
        <a:srgbClr val="82ACB3"/>
      </a:accent5>
      <a:accent6>
        <a:srgbClr val="E6BE8A"/>
      </a:accent6>
      <a:hlink>
        <a:srgbClr val="675D54"/>
      </a:hlink>
      <a:folHlink>
        <a:srgbClr val="9E9388"/>
      </a:folHlink>
    </a:clrScheme>
    <a:fontScheme name="CAIM OpenSans SourceSansCAIM">
      <a:majorFont>
        <a:latin typeface="Open Sans"/>
        <a:ea typeface=""/>
        <a:cs typeface=""/>
      </a:majorFont>
      <a:minorFont>
        <a:latin typeface="Source Sans CAIM"/>
        <a:ea typeface=""/>
        <a:cs typeface=""/>
      </a:minorFont>
    </a:fontScheme>
    <a:fmtScheme name="Office Them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CAIM" id="{C04349FE-E8B3-224E-B086-8C79A59A7A46}" vid="{9350B2EA-2403-A94B-ACDD-53FC5DF17F19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4" dT="2024-10-17T07:30:52.76" personId="{47A81DC0-A97A-F143-866D-47CF05E46756}" id="{AB0133B7-424F-1842-8CFF-76739D618D49}">
    <text>Enter 1-4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AH51"/>
  <sheetViews>
    <sheetView showGridLines="0" tabSelected="1" zoomScaleNormal="100" workbookViewId="0">
      <selection activeCell="Z56" sqref="Z56"/>
    </sheetView>
  </sheetViews>
  <sheetFormatPr baseColWidth="10" defaultColWidth="9.19921875" defaultRowHeight="15"/>
  <cols>
    <col min="1" max="1" width="4.59765625" style="10" customWidth="1"/>
    <col min="2" max="2" width="4.796875" style="10" customWidth="1"/>
    <col min="3" max="3" width="13.59765625" style="10" customWidth="1"/>
    <col min="4" max="27" width="9.3984375" style="10" bestFit="1" customWidth="1"/>
    <col min="28" max="28" width="9.19921875" style="10"/>
    <col min="29" max="29" width="9.59765625" style="10" bestFit="1" customWidth="1"/>
    <col min="30" max="30" width="9.19921875" style="10"/>
    <col min="31" max="31" width="9.3984375" style="10" bestFit="1" customWidth="1"/>
    <col min="32" max="32" width="9.19921875" style="10"/>
    <col min="33" max="33" width="9.19921875" style="11"/>
    <col min="34" max="34" width="9.3984375" style="10" bestFit="1" customWidth="1"/>
    <col min="35" max="16384" width="9.19921875" style="10"/>
  </cols>
  <sheetData>
    <row r="2" spans="2:29">
      <c r="C2" s="9" t="s">
        <v>86</v>
      </c>
      <c r="D2" s="9"/>
      <c r="F2" s="41" t="s">
        <v>87</v>
      </c>
      <c r="G2" s="41"/>
      <c r="H2" s="41"/>
      <c r="I2" s="41"/>
      <c r="K2" s="39" t="s">
        <v>89</v>
      </c>
      <c r="L2" s="39"/>
      <c r="M2" s="39"/>
    </row>
    <row r="3" spans="2:29">
      <c r="C3" s="21" t="s">
        <v>11</v>
      </c>
      <c r="D3" s="34">
        <v>0.85</v>
      </c>
      <c r="F3" s="42"/>
      <c r="G3" s="42" t="s">
        <v>0</v>
      </c>
      <c r="H3" s="42" t="s">
        <v>1</v>
      </c>
      <c r="I3" s="42" t="s">
        <v>2</v>
      </c>
      <c r="K3" s="40"/>
      <c r="L3" s="40" t="s">
        <v>83</v>
      </c>
      <c r="M3" s="40" t="s">
        <v>88</v>
      </c>
    </row>
    <row r="4" spans="2:29">
      <c r="B4" s="10">
        <v>2</v>
      </c>
      <c r="C4" s="21" t="s">
        <v>12</v>
      </c>
      <c r="D4" s="35" t="str">
        <f>INDEX(opttypes,opttypeix,1)</f>
        <v>tgtrisk</v>
      </c>
      <c r="F4" s="21" t="s">
        <v>37</v>
      </c>
      <c r="G4" s="22">
        <f t="array" ref="G4:I4">exprets</f>
        <v>9.9999999999999985E-3</v>
      </c>
      <c r="H4" s="22">
        <v>0.03</v>
      </c>
      <c r="I4" s="22">
        <v>7.0000000000000048E-2</v>
      </c>
      <c r="K4" s="21" t="s">
        <v>90</v>
      </c>
      <c r="L4" s="22">
        <f>IF(opttype="minrisk",consval,IF(opttype="tgtrisk",-objval,IF(opttype="tgtret",consval,IF(opttype="maxret",-objval,"ERROR"))))</f>
        <v>1.0923523366582704E-2</v>
      </c>
      <c r="M4" s="22">
        <f>AVERAGE(portrets)</f>
        <v>1.0923523366582703E-2</v>
      </c>
    </row>
    <row r="5" spans="2:29">
      <c r="C5" s="21" t="s">
        <v>14</v>
      </c>
      <c r="D5" s="34">
        <v>0</v>
      </c>
      <c r="F5" s="21" t="s">
        <v>38</v>
      </c>
      <c r="G5" s="36">
        <v>0</v>
      </c>
      <c r="H5" s="36">
        <v>0</v>
      </c>
      <c r="I5" s="36">
        <v>0</v>
      </c>
      <c r="K5" s="21" t="str">
        <f>_xlfn.CONCAT("var",confidence*100)</f>
        <v>var85</v>
      </c>
      <c r="L5" s="22">
        <f>-modelvar</f>
        <v>0</v>
      </c>
      <c r="M5" s="22">
        <f>PERCENTILE(portrets,(1-confidence))</f>
        <v>1.0717343171244423E-3</v>
      </c>
    </row>
    <row r="6" spans="2:29">
      <c r="C6" s="29"/>
      <c r="D6" s="29"/>
      <c r="F6" s="21" t="s">
        <v>39</v>
      </c>
      <c r="G6" s="36">
        <v>1</v>
      </c>
      <c r="H6" s="36">
        <v>1</v>
      </c>
      <c r="I6" s="36">
        <v>1</v>
      </c>
      <c r="K6" s="21" t="str">
        <f>_xlfn.CONCAT("cvar",confidence*100)</f>
        <v>cvar85</v>
      </c>
      <c r="L6" s="22">
        <f>IF(opttype="minrisk",-objval,IF(opttype="tgtrisk",consval,IF(opttype="tgtret",-objval,IF(opttype="maxret",-consval,"ERROR"))))</f>
        <v>-1.299083116685768E-4</v>
      </c>
      <c r="M6" s="22">
        <f>AVERAGEIF(portrets,_xlfn.CONCAT("&lt;=",M5))</f>
        <v>8.2599390497625053E-5</v>
      </c>
    </row>
    <row r="7" spans="2:29">
      <c r="C7" s="29"/>
      <c r="D7" s="29"/>
      <c r="F7" s="21" t="s">
        <v>84</v>
      </c>
      <c r="G7" s="28">
        <f t="array" ref="G7:I7">assetwts</f>
        <v>0.95382383167086493</v>
      </c>
      <c r="H7" s="28">
        <v>4.6176168329135195E-2</v>
      </c>
      <c r="I7" s="28">
        <v>0</v>
      </c>
    </row>
    <row r="10" spans="2:29">
      <c r="D10" s="13" t="s">
        <v>96</v>
      </c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C10" s="14" t="s">
        <v>97</v>
      </c>
    </row>
    <row r="11" spans="2:29">
      <c r="D11" s="14" t="s">
        <v>0</v>
      </c>
      <c r="E11" s="14" t="s">
        <v>1</v>
      </c>
      <c r="F11" s="14" t="s">
        <v>2</v>
      </c>
      <c r="G11" s="14" t="s">
        <v>16</v>
      </c>
      <c r="H11" s="14" t="s">
        <v>17</v>
      </c>
      <c r="I11" s="14" t="s">
        <v>18</v>
      </c>
      <c r="J11" s="14" t="s">
        <v>19</v>
      </c>
      <c r="K11" s="14" t="s">
        <v>20</v>
      </c>
      <c r="L11" s="14" t="s">
        <v>21</v>
      </c>
      <c r="M11" s="14" t="s">
        <v>22</v>
      </c>
      <c r="N11" s="14" t="s">
        <v>23</v>
      </c>
      <c r="O11" s="14" t="s">
        <v>24</v>
      </c>
      <c r="P11" s="14" t="s">
        <v>25</v>
      </c>
      <c r="Q11" s="14" t="s">
        <v>26</v>
      </c>
      <c r="R11" s="14" t="s">
        <v>27</v>
      </c>
      <c r="S11" s="14" t="s">
        <v>28</v>
      </c>
      <c r="T11" s="14" t="s">
        <v>29</v>
      </c>
      <c r="U11" s="14" t="s">
        <v>30</v>
      </c>
      <c r="V11" s="14" t="s">
        <v>31</v>
      </c>
      <c r="W11" s="14" t="s">
        <v>32</v>
      </c>
      <c r="X11" s="14" t="s">
        <v>33</v>
      </c>
      <c r="Y11" s="14" t="s">
        <v>34</v>
      </c>
      <c r="Z11" s="14" t="s">
        <v>35</v>
      </c>
      <c r="AA11" s="14" t="s">
        <v>36</v>
      </c>
      <c r="AC11" s="14" t="s">
        <v>68</v>
      </c>
    </row>
    <row r="12" spans="2:29">
      <c r="D12" s="30">
        <v>0.95382383167086493</v>
      </c>
      <c r="E12" s="30">
        <v>4.6176168329135195E-2</v>
      </c>
      <c r="F12" s="30">
        <v>0</v>
      </c>
      <c r="G12" s="30">
        <v>0</v>
      </c>
      <c r="H12" s="30">
        <v>0</v>
      </c>
      <c r="I12" s="30">
        <v>0</v>
      </c>
      <c r="J12" s="30">
        <v>0</v>
      </c>
      <c r="K12" s="30">
        <v>0</v>
      </c>
      <c r="L12" s="30">
        <v>0</v>
      </c>
      <c r="M12" s="30">
        <v>0</v>
      </c>
      <c r="N12" s="30">
        <v>0</v>
      </c>
      <c r="O12" s="30">
        <v>0</v>
      </c>
      <c r="P12" s="30">
        <v>1.9790005510017647E-4</v>
      </c>
      <c r="Q12" s="30">
        <v>-9.999999999988031E-7</v>
      </c>
      <c r="R12" s="30">
        <v>0</v>
      </c>
      <c r="S12" s="30">
        <v>0</v>
      </c>
      <c r="T12" s="30">
        <v>0</v>
      </c>
      <c r="U12" s="30">
        <v>1.9282487990555285E-4</v>
      </c>
      <c r="V12" s="30">
        <v>0</v>
      </c>
      <c r="W12" s="30">
        <v>0</v>
      </c>
      <c r="X12" s="30">
        <v>0</v>
      </c>
      <c r="Y12" s="30">
        <v>0</v>
      </c>
      <c r="Z12" s="30">
        <v>0</v>
      </c>
      <c r="AA12" s="30">
        <v>0</v>
      </c>
      <c r="AC12" s="38">
        <f t="array" ref="AC12">MMULT(solution,TRANSPOSE(objfun))</f>
        <v>-1.0923523366582704E-2</v>
      </c>
    </row>
    <row r="14" spans="2:29">
      <c r="D14" s="43" t="s">
        <v>95</v>
      </c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</row>
    <row r="15" spans="2:29">
      <c r="D15" s="44" t="s">
        <v>0</v>
      </c>
      <c r="E15" s="44" t="s">
        <v>1</v>
      </c>
      <c r="F15" s="44" t="s">
        <v>2</v>
      </c>
      <c r="G15" s="44" t="s">
        <v>16</v>
      </c>
      <c r="H15" s="44" t="s">
        <v>17</v>
      </c>
      <c r="I15" s="44" t="s">
        <v>18</v>
      </c>
      <c r="J15" s="44" t="s">
        <v>19</v>
      </c>
      <c r="K15" s="44" t="s">
        <v>20</v>
      </c>
      <c r="L15" s="44" t="s">
        <v>21</v>
      </c>
      <c r="M15" s="44" t="s">
        <v>22</v>
      </c>
      <c r="N15" s="44" t="s">
        <v>23</v>
      </c>
      <c r="O15" s="44" t="s">
        <v>24</v>
      </c>
      <c r="P15" s="44" t="s">
        <v>25</v>
      </c>
      <c r="Q15" s="44" t="s">
        <v>26</v>
      </c>
      <c r="R15" s="44" t="s">
        <v>27</v>
      </c>
      <c r="S15" s="44" t="s">
        <v>28</v>
      </c>
      <c r="T15" s="44" t="s">
        <v>29</v>
      </c>
      <c r="U15" s="44" t="s">
        <v>30</v>
      </c>
      <c r="V15" s="44" t="s">
        <v>31</v>
      </c>
      <c r="W15" s="44" t="s">
        <v>32</v>
      </c>
      <c r="X15" s="44" t="s">
        <v>33</v>
      </c>
      <c r="Y15" s="44" t="s">
        <v>34</v>
      </c>
      <c r="Z15" s="44" t="s">
        <v>35</v>
      </c>
      <c r="AA15" s="44" t="s">
        <v>36</v>
      </c>
    </row>
    <row r="16" spans="2:29">
      <c r="D16" s="24">
        <f t="array" ref="D16:AA16">IF(OR(opttype="minrisk",opttype="tgtret"),cvarrow,-expretrow)</f>
        <v>-9.9999999999999985E-3</v>
      </c>
      <c r="E16" s="24">
        <v>-0.03</v>
      </c>
      <c r="F16" s="24">
        <v>-7.0000000000000048E-2</v>
      </c>
      <c r="G16" s="25">
        <v>0</v>
      </c>
      <c r="H16" s="26">
        <v>0</v>
      </c>
      <c r="I16" s="26">
        <v>0</v>
      </c>
      <c r="J16" s="26">
        <v>0</v>
      </c>
      <c r="K16" s="26">
        <v>0</v>
      </c>
      <c r="L16" s="26">
        <v>0</v>
      </c>
      <c r="M16" s="26">
        <v>0</v>
      </c>
      <c r="N16" s="26">
        <v>0</v>
      </c>
      <c r="O16" s="26">
        <v>0</v>
      </c>
      <c r="P16" s="26">
        <v>0</v>
      </c>
      <c r="Q16" s="26">
        <v>0</v>
      </c>
      <c r="R16" s="26">
        <v>0</v>
      </c>
      <c r="S16" s="26">
        <v>0</v>
      </c>
      <c r="T16" s="26">
        <v>0</v>
      </c>
      <c r="U16" s="26">
        <v>0</v>
      </c>
      <c r="V16" s="26">
        <v>0</v>
      </c>
      <c r="W16" s="26">
        <v>0</v>
      </c>
      <c r="X16" s="26">
        <v>0</v>
      </c>
      <c r="Y16" s="26">
        <v>0</v>
      </c>
      <c r="Z16" s="26">
        <v>0</v>
      </c>
      <c r="AA16" s="26">
        <v>0</v>
      </c>
    </row>
    <row r="17" spans="1:34">
      <c r="C17" s="15" t="s">
        <v>74</v>
      </c>
      <c r="D17" s="15">
        <v>1</v>
      </c>
      <c r="E17" s="15">
        <v>2</v>
      </c>
      <c r="F17" s="15">
        <v>3</v>
      </c>
      <c r="G17" s="15"/>
      <c r="H17" s="15">
        <v>1</v>
      </c>
      <c r="I17" s="15">
        <v>2</v>
      </c>
      <c r="J17" s="15">
        <v>3</v>
      </c>
      <c r="K17" s="15">
        <v>4</v>
      </c>
      <c r="L17" s="15">
        <v>5</v>
      </c>
      <c r="M17" s="15">
        <v>6</v>
      </c>
      <c r="N17" s="15">
        <v>7</v>
      </c>
      <c r="O17" s="15">
        <v>8</v>
      </c>
      <c r="P17" s="15">
        <v>9</v>
      </c>
      <c r="Q17" s="15">
        <v>10</v>
      </c>
      <c r="R17" s="15">
        <v>11</v>
      </c>
      <c r="S17" s="15">
        <v>12</v>
      </c>
      <c r="T17" s="15">
        <v>13</v>
      </c>
      <c r="U17" s="15">
        <v>14</v>
      </c>
      <c r="V17" s="15">
        <v>15</v>
      </c>
      <c r="W17" s="15">
        <v>16</v>
      </c>
      <c r="X17" s="15">
        <v>17</v>
      </c>
      <c r="Y17" s="15">
        <v>18</v>
      </c>
      <c r="Z17" s="15">
        <v>19</v>
      </c>
      <c r="AA17" s="15">
        <v>20</v>
      </c>
    </row>
    <row r="18" spans="1:34">
      <c r="C18" s="15" t="s">
        <v>75</v>
      </c>
      <c r="D18" s="16">
        <v>1</v>
      </c>
      <c r="E18" s="16">
        <v>2</v>
      </c>
      <c r="F18" s="16">
        <v>3</v>
      </c>
      <c r="G18" s="16">
        <v>4</v>
      </c>
      <c r="H18" s="16">
        <v>5</v>
      </c>
      <c r="I18" s="16">
        <v>6</v>
      </c>
      <c r="J18" s="16">
        <v>7</v>
      </c>
      <c r="K18" s="16">
        <v>8</v>
      </c>
      <c r="L18" s="16">
        <v>9</v>
      </c>
      <c r="M18" s="16">
        <v>10</v>
      </c>
      <c r="N18" s="16">
        <v>11</v>
      </c>
      <c r="O18" s="16">
        <v>12</v>
      </c>
      <c r="P18" s="16">
        <v>13</v>
      </c>
      <c r="Q18" s="16">
        <v>14</v>
      </c>
      <c r="R18" s="16">
        <v>15</v>
      </c>
      <c r="S18" s="16">
        <v>16</v>
      </c>
      <c r="T18" s="16">
        <v>17</v>
      </c>
      <c r="U18" s="16">
        <v>18</v>
      </c>
      <c r="V18" s="16">
        <v>19</v>
      </c>
      <c r="W18" s="16">
        <v>20</v>
      </c>
      <c r="X18" s="16">
        <v>21</v>
      </c>
      <c r="Y18" s="16">
        <v>22</v>
      </c>
      <c r="Z18" s="16">
        <v>23</v>
      </c>
      <c r="AA18" s="16">
        <v>24</v>
      </c>
    </row>
    <row r="19" spans="1:34">
      <c r="C19" s="45" t="s">
        <v>91</v>
      </c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  <c r="AA19" s="45"/>
      <c r="AC19" s="14" t="s">
        <v>98</v>
      </c>
      <c r="AD19" s="46" t="s">
        <v>72</v>
      </c>
      <c r="AE19" s="46" t="s">
        <v>83</v>
      </c>
      <c r="AF19" s="14"/>
    </row>
    <row r="20" spans="1:34">
      <c r="B20" s="17"/>
      <c r="C20" s="46"/>
      <c r="D20" s="46" t="s">
        <v>0</v>
      </c>
      <c r="E20" s="46" t="s">
        <v>1</v>
      </c>
      <c r="F20" s="46" t="s">
        <v>2</v>
      </c>
      <c r="G20" s="46" t="s">
        <v>16</v>
      </c>
      <c r="H20" s="46" t="s">
        <v>17</v>
      </c>
      <c r="I20" s="46" t="s">
        <v>18</v>
      </c>
      <c r="J20" s="46" t="s">
        <v>19</v>
      </c>
      <c r="K20" s="46" t="s">
        <v>20</v>
      </c>
      <c r="L20" s="46" t="s">
        <v>21</v>
      </c>
      <c r="M20" s="46" t="s">
        <v>22</v>
      </c>
      <c r="N20" s="46" t="s">
        <v>23</v>
      </c>
      <c r="O20" s="46" t="s">
        <v>24</v>
      </c>
      <c r="P20" s="46" t="s">
        <v>25</v>
      </c>
      <c r="Q20" s="46" t="s">
        <v>26</v>
      </c>
      <c r="R20" s="46" t="s">
        <v>27</v>
      </c>
      <c r="S20" s="46" t="s">
        <v>28</v>
      </c>
      <c r="T20" s="46" t="s">
        <v>29</v>
      </c>
      <c r="U20" s="46" t="s">
        <v>30</v>
      </c>
      <c r="V20" s="46" t="s">
        <v>31</v>
      </c>
      <c r="W20" s="46" t="s">
        <v>32</v>
      </c>
      <c r="X20" s="46" t="s">
        <v>33</v>
      </c>
      <c r="Y20" s="46" t="s">
        <v>34</v>
      </c>
      <c r="Z20" s="46" t="s">
        <v>35</v>
      </c>
      <c r="AA20" s="46" t="s">
        <v>36</v>
      </c>
      <c r="AC20" s="14" t="s">
        <v>68</v>
      </c>
      <c r="AD20" s="46" t="s">
        <v>69</v>
      </c>
      <c r="AE20" s="46" t="s">
        <v>72</v>
      </c>
      <c r="AF20" s="14" t="s">
        <v>82</v>
      </c>
      <c r="AH20" s="12" t="s">
        <v>93</v>
      </c>
    </row>
    <row r="21" spans="1:34">
      <c r="B21" s="16">
        <v>1</v>
      </c>
      <c r="C21" s="31" t="s">
        <v>40</v>
      </c>
      <c r="D21" s="23">
        <v>1</v>
      </c>
      <c r="E21" s="23">
        <v>1</v>
      </c>
      <c r="F21" s="23">
        <v>1</v>
      </c>
      <c r="G21" s="23">
        <v>0</v>
      </c>
      <c r="H21" s="23">
        <f t="shared" ref="H21:AA21" si="0">IF(H$17=$A21,1,0)</f>
        <v>0</v>
      </c>
      <c r="I21" s="23">
        <f t="shared" si="0"/>
        <v>0</v>
      </c>
      <c r="J21" s="23">
        <f t="shared" si="0"/>
        <v>0</v>
      </c>
      <c r="K21" s="23">
        <f t="shared" si="0"/>
        <v>0</v>
      </c>
      <c r="L21" s="23">
        <f t="shared" si="0"/>
        <v>0</v>
      </c>
      <c r="M21" s="23">
        <f t="shared" si="0"/>
        <v>0</v>
      </c>
      <c r="N21" s="23">
        <f t="shared" si="0"/>
        <v>0</v>
      </c>
      <c r="O21" s="23">
        <f t="shared" si="0"/>
        <v>0</v>
      </c>
      <c r="P21" s="23">
        <f t="shared" si="0"/>
        <v>0</v>
      </c>
      <c r="Q21" s="23">
        <f t="shared" si="0"/>
        <v>0</v>
      </c>
      <c r="R21" s="23">
        <f t="shared" si="0"/>
        <v>0</v>
      </c>
      <c r="S21" s="23">
        <f t="shared" si="0"/>
        <v>0</v>
      </c>
      <c r="T21" s="23">
        <f t="shared" si="0"/>
        <v>0</v>
      </c>
      <c r="U21" s="23">
        <f t="shared" si="0"/>
        <v>0</v>
      </c>
      <c r="V21" s="23">
        <f t="shared" si="0"/>
        <v>0</v>
      </c>
      <c r="W21" s="23">
        <f t="shared" si="0"/>
        <v>0</v>
      </c>
      <c r="X21" s="23">
        <f t="shared" si="0"/>
        <v>0</v>
      </c>
      <c r="Y21" s="23">
        <f t="shared" si="0"/>
        <v>0</v>
      </c>
      <c r="Z21" s="23">
        <f t="shared" si="0"/>
        <v>0</v>
      </c>
      <c r="AA21" s="23">
        <f t="shared" si="0"/>
        <v>0</v>
      </c>
      <c r="AC21" s="38">
        <f t="array" ref="AC21">MMULT(solution, TRANSPOSE(D21:AA21))</f>
        <v>1.0000000000000002</v>
      </c>
      <c r="AD21" s="32" t="s">
        <v>70</v>
      </c>
      <c r="AE21" s="37">
        <v>1</v>
      </c>
      <c r="AF21" s="33" t="str">
        <f>IF(AND(AC21&gt;=AE21-tol,AC21&lt;=AE21+tol),"","BREACH")</f>
        <v/>
      </c>
      <c r="AH21" s="12" t="s">
        <v>92</v>
      </c>
    </row>
    <row r="22" spans="1:34">
      <c r="B22" s="16">
        <v>2</v>
      </c>
      <c r="C22" s="31" t="s">
        <v>41</v>
      </c>
      <c r="D22" s="24">
        <f t="array" ref="D22:AA22">IF(opttype="tgtrisk",-cvarrow,IF(opttype="tgtret",expretrow,IF(opttype="minrisk",expretrow, IF(opttype="maxret",-cvarrow,"ERROR"))))</f>
        <v>0</v>
      </c>
      <c r="E22" s="24">
        <v>0</v>
      </c>
      <c r="F22" s="24">
        <v>0</v>
      </c>
      <c r="G22" s="25">
        <v>-1</v>
      </c>
      <c r="H22" s="26">
        <v>-0.33333333333333326</v>
      </c>
      <c r="I22" s="26">
        <v>-0.33333333333333326</v>
      </c>
      <c r="J22" s="26">
        <v>-0.33333333333333326</v>
      </c>
      <c r="K22" s="26">
        <v>-0.33333333333333326</v>
      </c>
      <c r="L22" s="26">
        <v>-0.33333333333333326</v>
      </c>
      <c r="M22" s="26">
        <v>-0.33333333333333326</v>
      </c>
      <c r="N22" s="26">
        <v>-0.33333333333333326</v>
      </c>
      <c r="O22" s="26">
        <v>-0.33333333333333326</v>
      </c>
      <c r="P22" s="26">
        <v>-0.33333333333333326</v>
      </c>
      <c r="Q22" s="26">
        <v>-0.33333333333333326</v>
      </c>
      <c r="R22" s="26">
        <v>-0.33333333333333326</v>
      </c>
      <c r="S22" s="26">
        <v>-0.33333333333333326</v>
      </c>
      <c r="T22" s="26">
        <v>-0.33333333333333326</v>
      </c>
      <c r="U22" s="26">
        <v>-0.33333333333333326</v>
      </c>
      <c r="V22" s="26">
        <v>-0.33333333333333326</v>
      </c>
      <c r="W22" s="26">
        <v>-0.33333333333333326</v>
      </c>
      <c r="X22" s="26">
        <v>-0.33333333333333326</v>
      </c>
      <c r="Y22" s="26">
        <v>-0.33333333333333326</v>
      </c>
      <c r="Z22" s="26">
        <v>-0.33333333333333326</v>
      </c>
      <c r="AA22" s="26">
        <v>-0.33333333333333326</v>
      </c>
      <c r="AC22" s="38">
        <f t="array" ref="AC22">MMULT(solution, TRANSPOSE(D22:AA22))</f>
        <v>-1.299083116685768E-4</v>
      </c>
      <c r="AD22" s="32" t="s">
        <v>71</v>
      </c>
      <c r="AE22" s="37">
        <f>IF(opttype="minrisk",-1E+99,IF(opttype="tgtrisk",target,IF(opttype="tgtret",target,-1E+99)))</f>
        <v>0</v>
      </c>
      <c r="AF22" s="33" t="str">
        <f t="shared" ref="AF22:AF48" si="1">IF(AC22&gt;=AE22-tol,"","BREACH")</f>
        <v>BREACH</v>
      </c>
      <c r="AH22" s="12" t="s">
        <v>94</v>
      </c>
    </row>
    <row r="23" spans="1:34">
      <c r="A23" s="15">
        <v>1</v>
      </c>
      <c r="B23" s="16">
        <v>3</v>
      </c>
      <c r="C23" s="31" t="s">
        <v>42</v>
      </c>
      <c r="D23" s="27">
        <f t="array" ref="D23:F42">assetrets</f>
        <v>2.216775075145002E-3</v>
      </c>
      <c r="E23" s="27">
        <v>5.0855723165568009E-2</v>
      </c>
      <c r="F23" s="27">
        <v>4.2985927707870852E-2</v>
      </c>
      <c r="G23" s="23">
        <v>1</v>
      </c>
      <c r="H23" s="23">
        <f t="shared" ref="H23:Q32" si="2">IF(H$17=$A23,1,0)</f>
        <v>1</v>
      </c>
      <c r="I23" s="23">
        <f t="shared" si="2"/>
        <v>0</v>
      </c>
      <c r="J23" s="23">
        <f t="shared" si="2"/>
        <v>0</v>
      </c>
      <c r="K23" s="23">
        <f t="shared" si="2"/>
        <v>0</v>
      </c>
      <c r="L23" s="23">
        <f t="shared" si="2"/>
        <v>0</v>
      </c>
      <c r="M23" s="23">
        <f t="shared" si="2"/>
        <v>0</v>
      </c>
      <c r="N23" s="23">
        <f t="shared" si="2"/>
        <v>0</v>
      </c>
      <c r="O23" s="23">
        <f t="shared" si="2"/>
        <v>0</v>
      </c>
      <c r="P23" s="23">
        <f t="shared" si="2"/>
        <v>0</v>
      </c>
      <c r="Q23" s="23">
        <f t="shared" si="2"/>
        <v>0</v>
      </c>
      <c r="R23" s="23">
        <f t="shared" ref="R23:AA32" si="3">IF(R$17=$A23,1,0)</f>
        <v>0</v>
      </c>
      <c r="S23" s="23">
        <f t="shared" si="3"/>
        <v>0</v>
      </c>
      <c r="T23" s="23">
        <f t="shared" si="3"/>
        <v>0</v>
      </c>
      <c r="U23" s="23">
        <f t="shared" si="3"/>
        <v>0</v>
      </c>
      <c r="V23" s="23">
        <f t="shared" si="3"/>
        <v>0</v>
      </c>
      <c r="W23" s="23">
        <f t="shared" si="3"/>
        <v>0</v>
      </c>
      <c r="X23" s="23">
        <f t="shared" si="3"/>
        <v>0</v>
      </c>
      <c r="Y23" s="23">
        <f t="shared" si="3"/>
        <v>0</v>
      </c>
      <c r="Z23" s="23">
        <f t="shared" si="3"/>
        <v>0</v>
      </c>
      <c r="AA23" s="23">
        <f t="shared" si="3"/>
        <v>0</v>
      </c>
      <c r="AC23" s="38">
        <f t="array" ref="AC23">MMULT(solution, TRANSPOSE(D23:AA23))</f>
        <v>4.4627353295204437E-3</v>
      </c>
      <c r="AD23" s="32" t="s">
        <v>71</v>
      </c>
      <c r="AE23" s="37">
        <v>0</v>
      </c>
      <c r="AF23" s="33" t="str">
        <f t="shared" si="1"/>
        <v/>
      </c>
      <c r="AH23" s="22">
        <f t="array" ref="AH23">MMULT(assetwts,TRANSPOSE(D23:F23))</f>
        <v>4.4627353295204437E-3</v>
      </c>
    </row>
    <row r="24" spans="1:34">
      <c r="A24" s="15">
        <v>2</v>
      </c>
      <c r="B24" s="16">
        <v>4</v>
      </c>
      <c r="C24" s="31" t="s">
        <v>43</v>
      </c>
      <c r="D24" s="27">
        <v>8.8185478783941694E-3</v>
      </c>
      <c r="E24" s="27">
        <v>5.4673646850649453E-2</v>
      </c>
      <c r="F24" s="27">
        <v>0.22296005380403067</v>
      </c>
      <c r="G24" s="23">
        <v>1</v>
      </c>
      <c r="H24" s="23">
        <f t="shared" si="2"/>
        <v>0</v>
      </c>
      <c r="I24" s="23">
        <f t="shared" si="2"/>
        <v>1</v>
      </c>
      <c r="J24" s="23">
        <f t="shared" si="2"/>
        <v>0</v>
      </c>
      <c r="K24" s="23">
        <f t="shared" si="2"/>
        <v>0</v>
      </c>
      <c r="L24" s="23">
        <f t="shared" si="2"/>
        <v>0</v>
      </c>
      <c r="M24" s="23">
        <f t="shared" si="2"/>
        <v>0</v>
      </c>
      <c r="N24" s="23">
        <f t="shared" si="2"/>
        <v>0</v>
      </c>
      <c r="O24" s="23">
        <f t="shared" si="2"/>
        <v>0</v>
      </c>
      <c r="P24" s="23">
        <f t="shared" si="2"/>
        <v>0</v>
      </c>
      <c r="Q24" s="23">
        <f t="shared" si="2"/>
        <v>0</v>
      </c>
      <c r="R24" s="23">
        <f t="shared" si="3"/>
        <v>0</v>
      </c>
      <c r="S24" s="23">
        <f t="shared" si="3"/>
        <v>0</v>
      </c>
      <c r="T24" s="23">
        <f t="shared" si="3"/>
        <v>0</v>
      </c>
      <c r="U24" s="23">
        <f t="shared" si="3"/>
        <v>0</v>
      </c>
      <c r="V24" s="23">
        <f t="shared" si="3"/>
        <v>0</v>
      </c>
      <c r="W24" s="23">
        <f t="shared" si="3"/>
        <v>0</v>
      </c>
      <c r="X24" s="23">
        <f t="shared" si="3"/>
        <v>0</v>
      </c>
      <c r="Y24" s="23">
        <f t="shared" si="3"/>
        <v>0</v>
      </c>
      <c r="Z24" s="23">
        <f t="shared" si="3"/>
        <v>0</v>
      </c>
      <c r="AA24" s="23">
        <f t="shared" si="3"/>
        <v>0</v>
      </c>
      <c r="AC24" s="38">
        <f t="array" ref="AC24">MMULT(solution, TRANSPOSE(D24:AA24))</f>
        <v>1.0935960647286184E-2</v>
      </c>
      <c r="AD24" s="32" t="s">
        <v>71</v>
      </c>
      <c r="AE24" s="37">
        <v>0</v>
      </c>
      <c r="AF24" s="33" t="str">
        <f t="shared" si="1"/>
        <v/>
      </c>
      <c r="AH24" s="22">
        <f t="array" ref="AH24">MMULT(assetwts,TRANSPOSE(D24:F24))</f>
        <v>1.0935960647286184E-2</v>
      </c>
    </row>
    <row r="25" spans="1:34">
      <c r="A25" s="15">
        <v>3</v>
      </c>
      <c r="B25" s="16">
        <v>5</v>
      </c>
      <c r="C25" s="31" t="s">
        <v>44</v>
      </c>
      <c r="D25" s="27">
        <v>1.4273324109259907E-2</v>
      </c>
      <c r="E25" s="27">
        <v>1.3995158176073469E-3</v>
      </c>
      <c r="F25" s="27">
        <v>-8.4252458065237484E-3</v>
      </c>
      <c r="G25" s="23">
        <v>1</v>
      </c>
      <c r="H25" s="23">
        <f t="shared" si="2"/>
        <v>0</v>
      </c>
      <c r="I25" s="23">
        <f t="shared" si="2"/>
        <v>0</v>
      </c>
      <c r="J25" s="23">
        <f t="shared" si="2"/>
        <v>1</v>
      </c>
      <c r="K25" s="23">
        <f t="shared" si="2"/>
        <v>0</v>
      </c>
      <c r="L25" s="23">
        <f t="shared" si="2"/>
        <v>0</v>
      </c>
      <c r="M25" s="23">
        <f t="shared" si="2"/>
        <v>0</v>
      </c>
      <c r="N25" s="23">
        <f t="shared" si="2"/>
        <v>0</v>
      </c>
      <c r="O25" s="23">
        <f t="shared" si="2"/>
        <v>0</v>
      </c>
      <c r="P25" s="23">
        <f t="shared" si="2"/>
        <v>0</v>
      </c>
      <c r="Q25" s="23">
        <f t="shared" si="2"/>
        <v>0</v>
      </c>
      <c r="R25" s="23">
        <f t="shared" si="3"/>
        <v>0</v>
      </c>
      <c r="S25" s="23">
        <f t="shared" si="3"/>
        <v>0</v>
      </c>
      <c r="T25" s="23">
        <f t="shared" si="3"/>
        <v>0</v>
      </c>
      <c r="U25" s="23">
        <f t="shared" si="3"/>
        <v>0</v>
      </c>
      <c r="V25" s="23">
        <f t="shared" si="3"/>
        <v>0</v>
      </c>
      <c r="W25" s="23">
        <f t="shared" si="3"/>
        <v>0</v>
      </c>
      <c r="X25" s="23">
        <f t="shared" si="3"/>
        <v>0</v>
      </c>
      <c r="Y25" s="23">
        <f t="shared" si="3"/>
        <v>0</v>
      </c>
      <c r="Z25" s="23">
        <f t="shared" si="3"/>
        <v>0</v>
      </c>
      <c r="AA25" s="23">
        <f t="shared" si="3"/>
        <v>0</v>
      </c>
      <c r="AC25" s="38">
        <f t="array" ref="AC25">MMULT(solution, TRANSPOSE(D25:AA25))</f>
        <v>1.3678860970547544E-2</v>
      </c>
      <c r="AD25" s="32" t="s">
        <v>71</v>
      </c>
      <c r="AE25" s="37">
        <v>0</v>
      </c>
      <c r="AF25" s="33" t="str">
        <f t="shared" si="1"/>
        <v/>
      </c>
      <c r="AH25" s="22">
        <f t="array" ref="AH25">MMULT(assetwts,TRANSPOSE(D25:F25))</f>
        <v>1.3678860970547544E-2</v>
      </c>
    </row>
    <row r="26" spans="1:34">
      <c r="A26" s="15">
        <v>4</v>
      </c>
      <c r="B26" s="16">
        <v>6</v>
      </c>
      <c r="C26" s="31" t="s">
        <v>45</v>
      </c>
      <c r="D26" s="27">
        <v>1.8863741768255868E-3</v>
      </c>
      <c r="E26" s="27">
        <v>-1.410002853361262E-2</v>
      </c>
      <c r="F26" s="27">
        <v>0.15787453724393707</v>
      </c>
      <c r="G26" s="23">
        <v>1</v>
      </c>
      <c r="H26" s="23">
        <f t="shared" si="2"/>
        <v>0</v>
      </c>
      <c r="I26" s="23">
        <f t="shared" si="2"/>
        <v>0</v>
      </c>
      <c r="J26" s="23">
        <f t="shared" si="2"/>
        <v>0</v>
      </c>
      <c r="K26" s="23">
        <f t="shared" si="2"/>
        <v>1</v>
      </c>
      <c r="L26" s="23">
        <f t="shared" si="2"/>
        <v>0</v>
      </c>
      <c r="M26" s="23">
        <f t="shared" si="2"/>
        <v>0</v>
      </c>
      <c r="N26" s="23">
        <f t="shared" si="2"/>
        <v>0</v>
      </c>
      <c r="O26" s="23">
        <f t="shared" si="2"/>
        <v>0</v>
      </c>
      <c r="P26" s="23">
        <f t="shared" si="2"/>
        <v>0</v>
      </c>
      <c r="Q26" s="23">
        <f t="shared" si="2"/>
        <v>0</v>
      </c>
      <c r="R26" s="23">
        <f t="shared" si="3"/>
        <v>0</v>
      </c>
      <c r="S26" s="23">
        <f t="shared" si="3"/>
        <v>0</v>
      </c>
      <c r="T26" s="23">
        <f t="shared" si="3"/>
        <v>0</v>
      </c>
      <c r="U26" s="23">
        <f t="shared" si="3"/>
        <v>0</v>
      </c>
      <c r="V26" s="23">
        <f t="shared" si="3"/>
        <v>0</v>
      </c>
      <c r="W26" s="23">
        <f t="shared" si="3"/>
        <v>0</v>
      </c>
      <c r="X26" s="23">
        <f t="shared" si="3"/>
        <v>0</v>
      </c>
      <c r="Y26" s="23">
        <f t="shared" si="3"/>
        <v>0</v>
      </c>
      <c r="Z26" s="23">
        <f t="shared" si="3"/>
        <v>0</v>
      </c>
      <c r="AA26" s="23">
        <f t="shared" si="3"/>
        <v>0</v>
      </c>
      <c r="AC26" s="38">
        <f t="array" ref="AC26">MMULT(solution, TRANSPOSE(D26:AA26))</f>
        <v>1.1481833542910493E-3</v>
      </c>
      <c r="AD26" s="32" t="s">
        <v>71</v>
      </c>
      <c r="AE26" s="37">
        <v>0</v>
      </c>
      <c r="AF26" s="33" t="str">
        <f t="shared" si="1"/>
        <v/>
      </c>
      <c r="AH26" s="22">
        <f t="array" ref="AH26">MMULT(assetwts,TRANSPOSE(D26:F26))</f>
        <v>1.1481833542910493E-3</v>
      </c>
    </row>
    <row r="27" spans="1:34">
      <c r="A27" s="15">
        <v>5</v>
      </c>
      <c r="B27" s="16">
        <v>7</v>
      </c>
      <c r="C27" s="31" t="s">
        <v>46</v>
      </c>
      <c r="D27" s="27">
        <v>1.8515085211979206E-2</v>
      </c>
      <c r="E27" s="27">
        <v>-1.1927803973031781E-2</v>
      </c>
      <c r="F27" s="27">
        <v>0.2468913664680778</v>
      </c>
      <c r="G27" s="23">
        <v>1</v>
      </c>
      <c r="H27" s="23">
        <f t="shared" si="2"/>
        <v>0</v>
      </c>
      <c r="I27" s="23">
        <f t="shared" si="2"/>
        <v>0</v>
      </c>
      <c r="J27" s="23">
        <f t="shared" si="2"/>
        <v>0</v>
      </c>
      <c r="K27" s="23">
        <f t="shared" si="2"/>
        <v>0</v>
      </c>
      <c r="L27" s="23">
        <f t="shared" si="2"/>
        <v>1</v>
      </c>
      <c r="M27" s="23">
        <f t="shared" si="2"/>
        <v>0</v>
      </c>
      <c r="N27" s="23">
        <f t="shared" si="2"/>
        <v>0</v>
      </c>
      <c r="O27" s="23">
        <f t="shared" si="2"/>
        <v>0</v>
      </c>
      <c r="P27" s="23">
        <f t="shared" si="2"/>
        <v>0</v>
      </c>
      <c r="Q27" s="23">
        <f t="shared" si="2"/>
        <v>0</v>
      </c>
      <c r="R27" s="23">
        <f t="shared" si="3"/>
        <v>0</v>
      </c>
      <c r="S27" s="23">
        <f t="shared" si="3"/>
        <v>0</v>
      </c>
      <c r="T27" s="23">
        <f t="shared" si="3"/>
        <v>0</v>
      </c>
      <c r="U27" s="23">
        <f t="shared" si="3"/>
        <v>0</v>
      </c>
      <c r="V27" s="23">
        <f t="shared" si="3"/>
        <v>0</v>
      </c>
      <c r="W27" s="23">
        <f t="shared" si="3"/>
        <v>0</v>
      </c>
      <c r="X27" s="23">
        <f t="shared" si="3"/>
        <v>0</v>
      </c>
      <c r="Y27" s="23">
        <f t="shared" si="3"/>
        <v>0</v>
      </c>
      <c r="Z27" s="23">
        <f t="shared" si="3"/>
        <v>0</v>
      </c>
      <c r="AA27" s="23">
        <f t="shared" si="3"/>
        <v>0</v>
      </c>
      <c r="AC27" s="38">
        <f t="array" ref="AC27">MMULT(solution, TRANSPOSE(D27:AA27))</f>
        <v>1.7109349236546931E-2</v>
      </c>
      <c r="AD27" s="32" t="s">
        <v>71</v>
      </c>
      <c r="AE27" s="37">
        <v>0</v>
      </c>
      <c r="AF27" s="33" t="str">
        <f t="shared" si="1"/>
        <v/>
      </c>
      <c r="AH27" s="22">
        <f t="array" ref="AH27">MMULT(assetwts,TRANSPOSE(D27:F27))</f>
        <v>1.7109349236546931E-2</v>
      </c>
    </row>
    <row r="28" spans="1:34">
      <c r="A28" s="15">
        <v>6</v>
      </c>
      <c r="B28" s="16">
        <v>8</v>
      </c>
      <c r="C28" s="31" t="s">
        <v>47</v>
      </c>
      <c r="D28" s="27">
        <v>1.7012995194816034E-2</v>
      </c>
      <c r="E28" s="27">
        <v>5.9791578037708515E-2</v>
      </c>
      <c r="F28" s="27">
        <v>0.18808675939049113</v>
      </c>
      <c r="G28" s="23">
        <v>1</v>
      </c>
      <c r="H28" s="23">
        <f t="shared" si="2"/>
        <v>0</v>
      </c>
      <c r="I28" s="23">
        <f t="shared" si="2"/>
        <v>0</v>
      </c>
      <c r="J28" s="23">
        <f t="shared" si="2"/>
        <v>0</v>
      </c>
      <c r="K28" s="23">
        <f t="shared" si="2"/>
        <v>0</v>
      </c>
      <c r="L28" s="23">
        <f t="shared" si="2"/>
        <v>0</v>
      </c>
      <c r="M28" s="23">
        <f t="shared" si="2"/>
        <v>1</v>
      </c>
      <c r="N28" s="23">
        <f t="shared" si="2"/>
        <v>0</v>
      </c>
      <c r="O28" s="23">
        <f t="shared" si="2"/>
        <v>0</v>
      </c>
      <c r="P28" s="23">
        <f t="shared" si="2"/>
        <v>0</v>
      </c>
      <c r="Q28" s="23">
        <f t="shared" si="2"/>
        <v>0</v>
      </c>
      <c r="R28" s="23">
        <f t="shared" si="3"/>
        <v>0</v>
      </c>
      <c r="S28" s="23">
        <f t="shared" si="3"/>
        <v>0</v>
      </c>
      <c r="T28" s="23">
        <f t="shared" si="3"/>
        <v>0</v>
      </c>
      <c r="U28" s="23">
        <f t="shared" si="3"/>
        <v>0</v>
      </c>
      <c r="V28" s="23">
        <f t="shared" si="3"/>
        <v>0</v>
      </c>
      <c r="W28" s="23">
        <f t="shared" si="3"/>
        <v>0</v>
      </c>
      <c r="X28" s="23">
        <f t="shared" si="3"/>
        <v>0</v>
      </c>
      <c r="Y28" s="23">
        <f t="shared" si="3"/>
        <v>0</v>
      </c>
      <c r="Z28" s="23">
        <f t="shared" si="3"/>
        <v>0</v>
      </c>
      <c r="AA28" s="23">
        <f t="shared" si="3"/>
        <v>0</v>
      </c>
      <c r="AC28" s="38">
        <f t="array" ref="AC28">MMULT(solution, TRANSPOSE(D28:AA28))</f>
        <v>1.8988346237051291E-2</v>
      </c>
      <c r="AD28" s="32" t="s">
        <v>71</v>
      </c>
      <c r="AE28" s="37">
        <v>0</v>
      </c>
      <c r="AF28" s="33" t="str">
        <f t="shared" si="1"/>
        <v/>
      </c>
      <c r="AH28" s="22">
        <f t="array" ref="AH28">MMULT(assetwts,TRANSPOSE(D28:F28))</f>
        <v>1.8988346237051291E-2</v>
      </c>
    </row>
    <row r="29" spans="1:34">
      <c r="A29" s="15">
        <v>7</v>
      </c>
      <c r="B29" s="16">
        <v>9</v>
      </c>
      <c r="C29" s="31" t="s">
        <v>48</v>
      </c>
      <c r="D29" s="27">
        <v>2.5474909578001382E-3</v>
      </c>
      <c r="E29" s="27">
        <v>5.2836325431086115E-2</v>
      </c>
      <c r="F29" s="27">
        <v>-2.882637740652555E-2</v>
      </c>
      <c r="G29" s="23">
        <v>1</v>
      </c>
      <c r="H29" s="23">
        <f t="shared" si="2"/>
        <v>0</v>
      </c>
      <c r="I29" s="23">
        <f t="shared" si="2"/>
        <v>0</v>
      </c>
      <c r="J29" s="23">
        <f t="shared" si="2"/>
        <v>0</v>
      </c>
      <c r="K29" s="23">
        <f t="shared" si="2"/>
        <v>0</v>
      </c>
      <c r="L29" s="23">
        <f t="shared" si="2"/>
        <v>0</v>
      </c>
      <c r="M29" s="23">
        <f t="shared" si="2"/>
        <v>0</v>
      </c>
      <c r="N29" s="23">
        <f t="shared" si="2"/>
        <v>1</v>
      </c>
      <c r="O29" s="23">
        <f t="shared" si="2"/>
        <v>0</v>
      </c>
      <c r="P29" s="23">
        <f t="shared" si="2"/>
        <v>0</v>
      </c>
      <c r="Q29" s="23">
        <f t="shared" si="2"/>
        <v>0</v>
      </c>
      <c r="R29" s="23">
        <f t="shared" si="3"/>
        <v>0</v>
      </c>
      <c r="S29" s="23">
        <f t="shared" si="3"/>
        <v>0</v>
      </c>
      <c r="T29" s="23">
        <f t="shared" si="3"/>
        <v>0</v>
      </c>
      <c r="U29" s="23">
        <f t="shared" si="3"/>
        <v>0</v>
      </c>
      <c r="V29" s="23">
        <f t="shared" si="3"/>
        <v>0</v>
      </c>
      <c r="W29" s="23">
        <f t="shared" si="3"/>
        <v>0</v>
      </c>
      <c r="X29" s="23">
        <f t="shared" si="3"/>
        <v>0</v>
      </c>
      <c r="Y29" s="23">
        <f t="shared" si="3"/>
        <v>0</v>
      </c>
      <c r="Z29" s="23">
        <f t="shared" si="3"/>
        <v>0</v>
      </c>
      <c r="AA29" s="23">
        <f t="shared" si="3"/>
        <v>0</v>
      </c>
      <c r="AC29" s="38">
        <f t="array" ref="AC29">MMULT(solution, TRANSPOSE(D29:AA29))</f>
        <v>4.8696366435146089E-3</v>
      </c>
      <c r="AD29" s="32" t="s">
        <v>71</v>
      </c>
      <c r="AE29" s="37">
        <v>0</v>
      </c>
      <c r="AF29" s="33" t="str">
        <f t="shared" si="1"/>
        <v/>
      </c>
      <c r="AH29" s="22">
        <f t="array" ref="AH29">MMULT(assetwts,TRANSPOSE(D29:F29))</f>
        <v>4.8696366435146089E-3</v>
      </c>
    </row>
    <row r="30" spans="1:34">
      <c r="A30" s="15">
        <v>8</v>
      </c>
      <c r="B30" s="16">
        <v>10</v>
      </c>
      <c r="C30" s="31" t="s">
        <v>49</v>
      </c>
      <c r="D30" s="27">
        <v>1.4742596322353044E-3</v>
      </c>
      <c r="E30" s="27">
        <v>-1.6624611624571045E-2</v>
      </c>
      <c r="F30" s="27">
        <v>6.255194285822499E-2</v>
      </c>
      <c r="G30" s="23">
        <v>1</v>
      </c>
      <c r="H30" s="23">
        <f t="shared" si="2"/>
        <v>0</v>
      </c>
      <c r="I30" s="23">
        <f t="shared" si="2"/>
        <v>0</v>
      </c>
      <c r="J30" s="23">
        <f t="shared" si="2"/>
        <v>0</v>
      </c>
      <c r="K30" s="23">
        <f t="shared" si="2"/>
        <v>0</v>
      </c>
      <c r="L30" s="23">
        <f t="shared" si="2"/>
        <v>0</v>
      </c>
      <c r="M30" s="23">
        <f t="shared" si="2"/>
        <v>0</v>
      </c>
      <c r="N30" s="23">
        <f t="shared" si="2"/>
        <v>0</v>
      </c>
      <c r="O30" s="23">
        <f t="shared" si="2"/>
        <v>1</v>
      </c>
      <c r="P30" s="23">
        <f t="shared" si="2"/>
        <v>0</v>
      </c>
      <c r="Q30" s="23">
        <f t="shared" si="2"/>
        <v>0</v>
      </c>
      <c r="R30" s="23">
        <f t="shared" si="3"/>
        <v>0</v>
      </c>
      <c r="S30" s="23">
        <f t="shared" si="3"/>
        <v>0</v>
      </c>
      <c r="T30" s="23">
        <f t="shared" si="3"/>
        <v>0</v>
      </c>
      <c r="U30" s="23">
        <f t="shared" si="3"/>
        <v>0</v>
      </c>
      <c r="V30" s="23">
        <f t="shared" si="3"/>
        <v>0</v>
      </c>
      <c r="W30" s="23">
        <f t="shared" si="3"/>
        <v>0</v>
      </c>
      <c r="X30" s="23">
        <f t="shared" si="3"/>
        <v>0</v>
      </c>
      <c r="Y30" s="23">
        <f t="shared" si="3"/>
        <v>0</v>
      </c>
      <c r="Z30" s="23">
        <f t="shared" si="3"/>
        <v>0</v>
      </c>
      <c r="AA30" s="23">
        <f t="shared" si="3"/>
        <v>0</v>
      </c>
      <c r="AC30" s="38">
        <f t="array" ref="AC30">MMULT(solution, TRANSPOSE(D30:AA30))</f>
        <v>6.3852310651366778E-4</v>
      </c>
      <c r="AD30" s="32" t="s">
        <v>71</v>
      </c>
      <c r="AE30" s="37">
        <v>0</v>
      </c>
      <c r="AF30" s="33" t="str">
        <f t="shared" si="1"/>
        <v/>
      </c>
      <c r="AH30" s="22">
        <f t="array" ref="AH30">MMULT(assetwts,TRANSPOSE(D30:F30))</f>
        <v>6.3852310651366778E-4</v>
      </c>
    </row>
    <row r="31" spans="1:34">
      <c r="A31" s="15">
        <v>9</v>
      </c>
      <c r="B31" s="16">
        <v>11</v>
      </c>
      <c r="C31" s="31" t="s">
        <v>50</v>
      </c>
      <c r="D31" s="27">
        <v>1.5578211748525431E-3</v>
      </c>
      <c r="E31" s="27">
        <v>-3.646441612826809E-2</v>
      </c>
      <c r="F31" s="27">
        <v>0.20589531634297908</v>
      </c>
      <c r="G31" s="23">
        <v>1</v>
      </c>
      <c r="H31" s="23">
        <f t="shared" si="2"/>
        <v>0</v>
      </c>
      <c r="I31" s="23">
        <f t="shared" si="2"/>
        <v>0</v>
      </c>
      <c r="J31" s="23">
        <f t="shared" si="2"/>
        <v>0</v>
      </c>
      <c r="K31" s="23">
        <f t="shared" si="2"/>
        <v>0</v>
      </c>
      <c r="L31" s="23">
        <f t="shared" si="2"/>
        <v>0</v>
      </c>
      <c r="M31" s="23">
        <f t="shared" si="2"/>
        <v>0</v>
      </c>
      <c r="N31" s="23">
        <f t="shared" si="2"/>
        <v>0</v>
      </c>
      <c r="O31" s="23">
        <f t="shared" si="2"/>
        <v>0</v>
      </c>
      <c r="P31" s="23">
        <f t="shared" si="2"/>
        <v>1</v>
      </c>
      <c r="Q31" s="23">
        <f t="shared" si="2"/>
        <v>0</v>
      </c>
      <c r="R31" s="23">
        <f t="shared" si="3"/>
        <v>0</v>
      </c>
      <c r="S31" s="23">
        <f t="shared" si="3"/>
        <v>0</v>
      </c>
      <c r="T31" s="23">
        <f t="shared" si="3"/>
        <v>0</v>
      </c>
      <c r="U31" s="23">
        <f t="shared" si="3"/>
        <v>0</v>
      </c>
      <c r="V31" s="23">
        <f t="shared" si="3"/>
        <v>0</v>
      </c>
      <c r="W31" s="23">
        <f t="shared" si="3"/>
        <v>0</v>
      </c>
      <c r="X31" s="23">
        <f t="shared" si="3"/>
        <v>0</v>
      </c>
      <c r="Y31" s="23">
        <f t="shared" si="3"/>
        <v>0</v>
      </c>
      <c r="Z31" s="23">
        <f t="shared" si="3"/>
        <v>0</v>
      </c>
      <c r="AA31" s="23">
        <f t="shared" si="3"/>
        <v>0</v>
      </c>
      <c r="AC31" s="38">
        <f t="array" ref="AC31">MMULT(solution, TRANSPOSE(D31:AA31))</f>
        <v>-6.5020688486128186E-15</v>
      </c>
      <c r="AD31" s="32" t="s">
        <v>71</v>
      </c>
      <c r="AE31" s="37">
        <v>0</v>
      </c>
      <c r="AF31" s="33" t="str">
        <f t="shared" si="1"/>
        <v/>
      </c>
      <c r="AH31" s="22">
        <f t="array" ref="AH31">MMULT(assetwts,TRANSPOSE(D31:F31))</f>
        <v>-1.9790005510667854E-4</v>
      </c>
    </row>
    <row r="32" spans="1:34">
      <c r="A32" s="15">
        <v>10</v>
      </c>
      <c r="B32" s="16">
        <v>12</v>
      </c>
      <c r="C32" s="31" t="s">
        <v>51</v>
      </c>
      <c r="D32" s="27">
        <v>2.1214538313584417E-2</v>
      </c>
      <c r="E32" s="27">
        <v>2.6395888588521033E-2</v>
      </c>
      <c r="F32" s="27">
        <v>-0.16560014826753705</v>
      </c>
      <c r="G32" s="23">
        <v>1</v>
      </c>
      <c r="H32" s="23">
        <f t="shared" si="2"/>
        <v>0</v>
      </c>
      <c r="I32" s="23">
        <f t="shared" si="2"/>
        <v>0</v>
      </c>
      <c r="J32" s="23">
        <f t="shared" si="2"/>
        <v>0</v>
      </c>
      <c r="K32" s="23">
        <f t="shared" si="2"/>
        <v>0</v>
      </c>
      <c r="L32" s="23">
        <f t="shared" si="2"/>
        <v>0</v>
      </c>
      <c r="M32" s="23">
        <f t="shared" si="2"/>
        <v>0</v>
      </c>
      <c r="N32" s="23">
        <f t="shared" si="2"/>
        <v>0</v>
      </c>
      <c r="O32" s="23">
        <f t="shared" si="2"/>
        <v>0</v>
      </c>
      <c r="P32" s="23">
        <f t="shared" si="2"/>
        <v>0</v>
      </c>
      <c r="Q32" s="23">
        <f t="shared" si="2"/>
        <v>1</v>
      </c>
      <c r="R32" s="23">
        <f t="shared" si="3"/>
        <v>0</v>
      </c>
      <c r="S32" s="23">
        <f t="shared" si="3"/>
        <v>0</v>
      </c>
      <c r="T32" s="23">
        <f t="shared" si="3"/>
        <v>0</v>
      </c>
      <c r="U32" s="23">
        <f t="shared" si="3"/>
        <v>0</v>
      </c>
      <c r="V32" s="23">
        <f t="shared" si="3"/>
        <v>0</v>
      </c>
      <c r="W32" s="23">
        <f t="shared" si="3"/>
        <v>0</v>
      </c>
      <c r="X32" s="23">
        <f t="shared" si="3"/>
        <v>0</v>
      </c>
      <c r="Y32" s="23">
        <f t="shared" si="3"/>
        <v>0</v>
      </c>
      <c r="Z32" s="23">
        <f t="shared" si="3"/>
        <v>0</v>
      </c>
      <c r="AA32" s="23">
        <f t="shared" si="3"/>
        <v>0</v>
      </c>
      <c r="AC32" s="38">
        <f t="array" ref="AC32">MMULT(solution, TRANSPOSE(D32:AA32))</f>
        <v>2.1452793216052108E-2</v>
      </c>
      <c r="AD32" s="32" t="s">
        <v>71</v>
      </c>
      <c r="AE32" s="37">
        <v>0</v>
      </c>
      <c r="AF32" s="33" t="str">
        <f t="shared" si="1"/>
        <v/>
      </c>
      <c r="AH32" s="22">
        <f t="array" ref="AH32">MMULT(assetwts,TRANSPOSE(D32:F32))</f>
        <v>2.1453793216052106E-2</v>
      </c>
    </row>
    <row r="33" spans="1:34">
      <c r="A33" s="15">
        <v>11</v>
      </c>
      <c r="B33" s="16">
        <v>13</v>
      </c>
      <c r="C33" s="31" t="s">
        <v>52</v>
      </c>
      <c r="D33" s="27">
        <v>3.6602127308707384E-2</v>
      </c>
      <c r="E33" s="27">
        <v>9.719021823761044E-2</v>
      </c>
      <c r="F33" s="27">
        <v>3.6754828213775452E-2</v>
      </c>
      <c r="G33" s="23">
        <v>1</v>
      </c>
      <c r="H33" s="23">
        <f t="shared" ref="H33:Q42" si="4">IF(H$17=$A33,1,0)</f>
        <v>0</v>
      </c>
      <c r="I33" s="23">
        <f t="shared" si="4"/>
        <v>0</v>
      </c>
      <c r="J33" s="23">
        <f t="shared" si="4"/>
        <v>0</v>
      </c>
      <c r="K33" s="23">
        <f t="shared" si="4"/>
        <v>0</v>
      </c>
      <c r="L33" s="23">
        <f t="shared" si="4"/>
        <v>0</v>
      </c>
      <c r="M33" s="23">
        <f t="shared" si="4"/>
        <v>0</v>
      </c>
      <c r="N33" s="23">
        <f t="shared" si="4"/>
        <v>0</v>
      </c>
      <c r="O33" s="23">
        <f t="shared" si="4"/>
        <v>0</v>
      </c>
      <c r="P33" s="23">
        <f t="shared" si="4"/>
        <v>0</v>
      </c>
      <c r="Q33" s="23">
        <f t="shared" si="4"/>
        <v>0</v>
      </c>
      <c r="R33" s="23">
        <f t="shared" ref="R33:AA42" si="5">IF(R$17=$A33,1,0)</f>
        <v>1</v>
      </c>
      <c r="S33" s="23">
        <f t="shared" si="5"/>
        <v>0</v>
      </c>
      <c r="T33" s="23">
        <f t="shared" si="5"/>
        <v>0</v>
      </c>
      <c r="U33" s="23">
        <f t="shared" si="5"/>
        <v>0</v>
      </c>
      <c r="V33" s="23">
        <f t="shared" si="5"/>
        <v>0</v>
      </c>
      <c r="W33" s="23">
        <f t="shared" si="5"/>
        <v>0</v>
      </c>
      <c r="X33" s="23">
        <f t="shared" si="5"/>
        <v>0</v>
      </c>
      <c r="Y33" s="23">
        <f t="shared" si="5"/>
        <v>0</v>
      </c>
      <c r="Z33" s="23">
        <f t="shared" si="5"/>
        <v>0</v>
      </c>
      <c r="AA33" s="23">
        <f t="shared" si="5"/>
        <v>0</v>
      </c>
      <c r="AC33" s="38">
        <f t="array" ref="AC33">MMULT(solution, TRANSPOSE(D33:AA33))</f>
        <v>3.9399853194181364E-2</v>
      </c>
      <c r="AD33" s="32" t="s">
        <v>71</v>
      </c>
      <c r="AE33" s="37">
        <v>0</v>
      </c>
      <c r="AF33" s="33" t="str">
        <f t="shared" si="1"/>
        <v/>
      </c>
      <c r="AH33" s="22">
        <f t="array" ref="AH33">MMULT(assetwts,TRANSPOSE(D33:F33))</f>
        <v>3.9399853194181364E-2</v>
      </c>
    </row>
    <row r="34" spans="1:34">
      <c r="A34" s="15">
        <v>12</v>
      </c>
      <c r="B34" s="16">
        <v>14</v>
      </c>
      <c r="C34" s="31" t="s">
        <v>53</v>
      </c>
      <c r="D34" s="27">
        <v>1.5438246929070589E-2</v>
      </c>
      <c r="E34" s="27">
        <v>6.0566752169740681E-2</v>
      </c>
      <c r="F34" s="27">
        <v>0.21786053930209048</v>
      </c>
      <c r="G34" s="23">
        <v>1</v>
      </c>
      <c r="H34" s="23">
        <f t="shared" si="4"/>
        <v>0</v>
      </c>
      <c r="I34" s="23">
        <f t="shared" si="4"/>
        <v>0</v>
      </c>
      <c r="J34" s="23">
        <f t="shared" si="4"/>
        <v>0</v>
      </c>
      <c r="K34" s="23">
        <f t="shared" si="4"/>
        <v>0</v>
      </c>
      <c r="L34" s="23">
        <f t="shared" si="4"/>
        <v>0</v>
      </c>
      <c r="M34" s="23">
        <f t="shared" si="4"/>
        <v>0</v>
      </c>
      <c r="N34" s="23">
        <f t="shared" si="4"/>
        <v>0</v>
      </c>
      <c r="O34" s="23">
        <f t="shared" si="4"/>
        <v>0</v>
      </c>
      <c r="P34" s="23">
        <f t="shared" si="4"/>
        <v>0</v>
      </c>
      <c r="Q34" s="23">
        <f t="shared" si="4"/>
        <v>0</v>
      </c>
      <c r="R34" s="23">
        <f t="shared" si="5"/>
        <v>0</v>
      </c>
      <c r="S34" s="23">
        <f t="shared" si="5"/>
        <v>1</v>
      </c>
      <c r="T34" s="23">
        <f t="shared" si="5"/>
        <v>0</v>
      </c>
      <c r="U34" s="23">
        <f t="shared" si="5"/>
        <v>0</v>
      </c>
      <c r="V34" s="23">
        <f t="shared" si="5"/>
        <v>0</v>
      </c>
      <c r="W34" s="23">
        <f t="shared" si="5"/>
        <v>0</v>
      </c>
      <c r="X34" s="23">
        <f t="shared" si="5"/>
        <v>0</v>
      </c>
      <c r="Y34" s="23">
        <f t="shared" si="5"/>
        <v>0</v>
      </c>
      <c r="Z34" s="23">
        <f t="shared" si="5"/>
        <v>0</v>
      </c>
      <c r="AA34" s="23">
        <f t="shared" si="5"/>
        <v>0</v>
      </c>
      <c r="AC34" s="38">
        <f t="array" ref="AC34">MMULT(solution, TRANSPOSE(D34:AA34))</f>
        <v>1.7522108383506034E-2</v>
      </c>
      <c r="AD34" s="32" t="s">
        <v>71</v>
      </c>
      <c r="AE34" s="37">
        <v>0</v>
      </c>
      <c r="AF34" s="33" t="str">
        <f t="shared" si="1"/>
        <v/>
      </c>
      <c r="AH34" s="22">
        <f t="array" ref="AH34">MMULT(assetwts,TRANSPOSE(D34:F34))</f>
        <v>1.7522108383506034E-2</v>
      </c>
    </row>
    <row r="35" spans="1:34">
      <c r="A35" s="15">
        <v>13</v>
      </c>
      <c r="B35" s="16">
        <v>15</v>
      </c>
      <c r="C35" s="31" t="s">
        <v>54</v>
      </c>
      <c r="D35" s="27">
        <v>2.468344647540908E-3</v>
      </c>
      <c r="E35" s="27">
        <v>0.13451064062439377</v>
      </c>
      <c r="F35" s="27">
        <v>-0.15553480345937779</v>
      </c>
      <c r="G35" s="23">
        <v>1</v>
      </c>
      <c r="H35" s="23">
        <f t="shared" si="4"/>
        <v>0</v>
      </c>
      <c r="I35" s="23">
        <f t="shared" si="4"/>
        <v>0</v>
      </c>
      <c r="J35" s="23">
        <f t="shared" si="4"/>
        <v>0</v>
      </c>
      <c r="K35" s="23">
        <f t="shared" si="4"/>
        <v>0</v>
      </c>
      <c r="L35" s="23">
        <f t="shared" si="4"/>
        <v>0</v>
      </c>
      <c r="M35" s="23">
        <f t="shared" si="4"/>
        <v>0</v>
      </c>
      <c r="N35" s="23">
        <f t="shared" si="4"/>
        <v>0</v>
      </c>
      <c r="O35" s="23">
        <f t="shared" si="4"/>
        <v>0</v>
      </c>
      <c r="P35" s="23">
        <f t="shared" si="4"/>
        <v>0</v>
      </c>
      <c r="Q35" s="23">
        <f t="shared" si="4"/>
        <v>0</v>
      </c>
      <c r="R35" s="23">
        <f t="shared" si="5"/>
        <v>0</v>
      </c>
      <c r="S35" s="23">
        <f t="shared" si="5"/>
        <v>0</v>
      </c>
      <c r="T35" s="23">
        <f t="shared" si="5"/>
        <v>1</v>
      </c>
      <c r="U35" s="23">
        <f t="shared" si="5"/>
        <v>0</v>
      </c>
      <c r="V35" s="23">
        <f t="shared" si="5"/>
        <v>0</v>
      </c>
      <c r="W35" s="23">
        <f t="shared" si="5"/>
        <v>0</v>
      </c>
      <c r="X35" s="23">
        <f t="shared" si="5"/>
        <v>0</v>
      </c>
      <c r="Y35" s="23">
        <f t="shared" si="5"/>
        <v>0</v>
      </c>
      <c r="Z35" s="23">
        <f t="shared" si="5"/>
        <v>0</v>
      </c>
      <c r="AA35" s="23">
        <f t="shared" si="5"/>
        <v>0</v>
      </c>
      <c r="AC35" s="38">
        <f t="array" ref="AC35">MMULT(solution, TRANSPOSE(D35:AA35))</f>
        <v>8.5655519331335576E-3</v>
      </c>
      <c r="AD35" s="32" t="s">
        <v>71</v>
      </c>
      <c r="AE35" s="37">
        <v>0</v>
      </c>
      <c r="AF35" s="33" t="str">
        <f t="shared" si="1"/>
        <v/>
      </c>
      <c r="AH35" s="22">
        <f t="array" ref="AH35">MMULT(assetwts,TRANSPOSE(D35:F35))</f>
        <v>8.5655519331335576E-3</v>
      </c>
    </row>
    <row r="36" spans="1:34">
      <c r="A36" s="15">
        <v>14</v>
      </c>
      <c r="B36" s="16">
        <v>16</v>
      </c>
      <c r="C36" s="31" t="s">
        <v>55</v>
      </c>
      <c r="D36" s="27">
        <v>2.2198797986713245E-3</v>
      </c>
      <c r="E36" s="27">
        <v>-5.003011767595944E-2</v>
      </c>
      <c r="F36" s="27">
        <v>-0.23433326159027135</v>
      </c>
      <c r="G36" s="23">
        <v>1</v>
      </c>
      <c r="H36" s="23">
        <f t="shared" si="4"/>
        <v>0</v>
      </c>
      <c r="I36" s="23">
        <f t="shared" si="4"/>
        <v>0</v>
      </c>
      <c r="J36" s="23">
        <f t="shared" si="4"/>
        <v>0</v>
      </c>
      <c r="K36" s="23">
        <f t="shared" si="4"/>
        <v>0</v>
      </c>
      <c r="L36" s="23">
        <f t="shared" si="4"/>
        <v>0</v>
      </c>
      <c r="M36" s="23">
        <f t="shared" si="4"/>
        <v>0</v>
      </c>
      <c r="N36" s="23">
        <f t="shared" si="4"/>
        <v>0</v>
      </c>
      <c r="O36" s="23">
        <f t="shared" si="4"/>
        <v>0</v>
      </c>
      <c r="P36" s="23">
        <f t="shared" si="4"/>
        <v>0</v>
      </c>
      <c r="Q36" s="23">
        <f t="shared" si="4"/>
        <v>0</v>
      </c>
      <c r="R36" s="23">
        <f t="shared" si="5"/>
        <v>0</v>
      </c>
      <c r="S36" s="23">
        <f t="shared" si="5"/>
        <v>0</v>
      </c>
      <c r="T36" s="23">
        <f t="shared" si="5"/>
        <v>0</v>
      </c>
      <c r="U36" s="23">
        <f t="shared" si="5"/>
        <v>1</v>
      </c>
      <c r="V36" s="23">
        <f t="shared" si="5"/>
        <v>0</v>
      </c>
      <c r="W36" s="23">
        <f t="shared" si="5"/>
        <v>0</v>
      </c>
      <c r="X36" s="23">
        <f t="shared" si="5"/>
        <v>0</v>
      </c>
      <c r="Y36" s="23">
        <f t="shared" si="5"/>
        <v>0</v>
      </c>
      <c r="Z36" s="23">
        <f t="shared" si="5"/>
        <v>0</v>
      </c>
      <c r="AA36" s="23">
        <f t="shared" si="5"/>
        <v>0</v>
      </c>
      <c r="AC36" s="38">
        <f t="array" ref="AC36">MMULT(solution, TRANSPOSE(D36:AA36))</f>
        <v>-8.5612398247059129E-15</v>
      </c>
      <c r="AD36" s="32" t="s">
        <v>71</v>
      </c>
      <c r="AE36" s="37">
        <v>0</v>
      </c>
      <c r="AF36" s="33" t="str">
        <f t="shared" si="1"/>
        <v/>
      </c>
      <c r="AH36" s="22">
        <f t="array" ref="AH36">MMULT(assetwts,TRANSPOSE(D36:F36))</f>
        <v>-1.9282487991411409E-4</v>
      </c>
    </row>
    <row r="37" spans="1:34">
      <c r="A37" s="15">
        <v>15</v>
      </c>
      <c r="B37" s="16">
        <v>17</v>
      </c>
      <c r="C37" s="31" t="s">
        <v>56</v>
      </c>
      <c r="D37" s="27">
        <v>2.7952304545438792E-3</v>
      </c>
      <c r="E37" s="27">
        <v>-1.9033762177108199E-2</v>
      </c>
      <c r="F37" s="27">
        <v>0.3020709049578727</v>
      </c>
      <c r="G37" s="23">
        <v>1</v>
      </c>
      <c r="H37" s="23">
        <f t="shared" si="4"/>
        <v>0</v>
      </c>
      <c r="I37" s="23">
        <f t="shared" si="4"/>
        <v>0</v>
      </c>
      <c r="J37" s="23">
        <f t="shared" si="4"/>
        <v>0</v>
      </c>
      <c r="K37" s="23">
        <f t="shared" si="4"/>
        <v>0</v>
      </c>
      <c r="L37" s="23">
        <f t="shared" si="4"/>
        <v>0</v>
      </c>
      <c r="M37" s="23">
        <f t="shared" si="4"/>
        <v>0</v>
      </c>
      <c r="N37" s="23">
        <f t="shared" si="4"/>
        <v>0</v>
      </c>
      <c r="O37" s="23">
        <f t="shared" si="4"/>
        <v>0</v>
      </c>
      <c r="P37" s="23">
        <f t="shared" si="4"/>
        <v>0</v>
      </c>
      <c r="Q37" s="23">
        <f t="shared" si="4"/>
        <v>0</v>
      </c>
      <c r="R37" s="23">
        <f t="shared" si="5"/>
        <v>0</v>
      </c>
      <c r="S37" s="23">
        <f t="shared" si="5"/>
        <v>0</v>
      </c>
      <c r="T37" s="23">
        <f t="shared" si="5"/>
        <v>0</v>
      </c>
      <c r="U37" s="23">
        <f t="shared" si="5"/>
        <v>0</v>
      </c>
      <c r="V37" s="23">
        <f t="shared" si="5"/>
        <v>1</v>
      </c>
      <c r="W37" s="23">
        <f t="shared" si="5"/>
        <v>0</v>
      </c>
      <c r="X37" s="23">
        <f t="shared" si="5"/>
        <v>0</v>
      </c>
      <c r="Y37" s="23">
        <f t="shared" si="5"/>
        <v>0</v>
      </c>
      <c r="Z37" s="23">
        <f t="shared" si="5"/>
        <v>0</v>
      </c>
      <c r="AA37" s="23">
        <f t="shared" si="5"/>
        <v>0</v>
      </c>
      <c r="AC37" s="38">
        <f t="array" ref="AC37">MMULT(solution, TRANSPOSE(D37:AA37))</f>
        <v>1.7872512163292615E-3</v>
      </c>
      <c r="AD37" s="32" t="s">
        <v>71</v>
      </c>
      <c r="AE37" s="37">
        <v>0</v>
      </c>
      <c r="AF37" s="33" t="str">
        <f t="shared" si="1"/>
        <v/>
      </c>
      <c r="AH37" s="22">
        <f t="array" ref="AH37">MMULT(assetwts,TRANSPOSE(D37:F37))</f>
        <v>1.7872512163292615E-3</v>
      </c>
    </row>
    <row r="38" spans="1:34">
      <c r="A38" s="15">
        <v>16</v>
      </c>
      <c r="B38" s="16">
        <v>18</v>
      </c>
      <c r="C38" s="31" t="s">
        <v>57</v>
      </c>
      <c r="D38" s="27">
        <v>2.1378182942760452E-2</v>
      </c>
      <c r="E38" s="27">
        <v>1.8970513074148432E-2</v>
      </c>
      <c r="F38" s="27">
        <v>0.12094017177263339</v>
      </c>
      <c r="G38" s="23">
        <v>1</v>
      </c>
      <c r="H38" s="23">
        <f t="shared" si="4"/>
        <v>0</v>
      </c>
      <c r="I38" s="23">
        <f t="shared" si="4"/>
        <v>0</v>
      </c>
      <c r="J38" s="23">
        <f t="shared" si="4"/>
        <v>0</v>
      </c>
      <c r="K38" s="23">
        <f t="shared" si="4"/>
        <v>0</v>
      </c>
      <c r="L38" s="23">
        <f t="shared" si="4"/>
        <v>0</v>
      </c>
      <c r="M38" s="23">
        <f t="shared" si="4"/>
        <v>0</v>
      </c>
      <c r="N38" s="23">
        <f t="shared" si="4"/>
        <v>0</v>
      </c>
      <c r="O38" s="23">
        <f t="shared" si="4"/>
        <v>0</v>
      </c>
      <c r="P38" s="23">
        <f t="shared" si="4"/>
        <v>0</v>
      </c>
      <c r="Q38" s="23">
        <f t="shared" si="4"/>
        <v>0</v>
      </c>
      <c r="R38" s="23">
        <f t="shared" si="5"/>
        <v>0</v>
      </c>
      <c r="S38" s="23">
        <f t="shared" si="5"/>
        <v>0</v>
      </c>
      <c r="T38" s="23">
        <f t="shared" si="5"/>
        <v>0</v>
      </c>
      <c r="U38" s="23">
        <f t="shared" si="5"/>
        <v>0</v>
      </c>
      <c r="V38" s="23">
        <f t="shared" si="5"/>
        <v>0</v>
      </c>
      <c r="W38" s="23">
        <f t="shared" si="5"/>
        <v>1</v>
      </c>
      <c r="X38" s="23">
        <f t="shared" si="5"/>
        <v>0</v>
      </c>
      <c r="Y38" s="23">
        <f t="shared" si="5"/>
        <v>0</v>
      </c>
      <c r="Z38" s="23">
        <f t="shared" si="5"/>
        <v>0</v>
      </c>
      <c r="AA38" s="23">
        <f t="shared" si="5"/>
        <v>0</v>
      </c>
      <c r="AC38" s="38">
        <f t="array" ref="AC38">MMULT(solution, TRANSPOSE(D38:AA38))</f>
        <v>2.1267005973626438E-2</v>
      </c>
      <c r="AD38" s="32" t="s">
        <v>71</v>
      </c>
      <c r="AE38" s="37">
        <v>0</v>
      </c>
      <c r="AF38" s="33" t="str">
        <f t="shared" si="1"/>
        <v/>
      </c>
      <c r="AH38" s="22">
        <f t="array" ref="AH38">MMULT(assetwts,TRANSPOSE(D38:F38))</f>
        <v>2.1267005973626438E-2</v>
      </c>
    </row>
    <row r="39" spans="1:34">
      <c r="A39" s="15">
        <v>17</v>
      </c>
      <c r="B39" s="16">
        <v>19</v>
      </c>
      <c r="C39" s="31" t="s">
        <v>58</v>
      </c>
      <c r="D39" s="27">
        <v>2.2166512214557479E-3</v>
      </c>
      <c r="E39" s="27">
        <v>3.2662697613909081E-2</v>
      </c>
      <c r="F39" s="27">
        <v>8.6003536432786243E-2</v>
      </c>
      <c r="G39" s="23">
        <v>1</v>
      </c>
      <c r="H39" s="23">
        <f t="shared" si="4"/>
        <v>0</v>
      </c>
      <c r="I39" s="23">
        <f t="shared" si="4"/>
        <v>0</v>
      </c>
      <c r="J39" s="23">
        <f t="shared" si="4"/>
        <v>0</v>
      </c>
      <c r="K39" s="23">
        <f t="shared" si="4"/>
        <v>0</v>
      </c>
      <c r="L39" s="23">
        <f t="shared" si="4"/>
        <v>0</v>
      </c>
      <c r="M39" s="23">
        <f t="shared" si="4"/>
        <v>0</v>
      </c>
      <c r="N39" s="23">
        <f t="shared" si="4"/>
        <v>0</v>
      </c>
      <c r="O39" s="23">
        <f t="shared" si="4"/>
        <v>0</v>
      </c>
      <c r="P39" s="23">
        <f t="shared" si="4"/>
        <v>0</v>
      </c>
      <c r="Q39" s="23">
        <f t="shared" si="4"/>
        <v>0</v>
      </c>
      <c r="R39" s="23">
        <f t="shared" si="5"/>
        <v>0</v>
      </c>
      <c r="S39" s="23">
        <f t="shared" si="5"/>
        <v>0</v>
      </c>
      <c r="T39" s="23">
        <f t="shared" si="5"/>
        <v>0</v>
      </c>
      <c r="U39" s="23">
        <f t="shared" si="5"/>
        <v>0</v>
      </c>
      <c r="V39" s="23">
        <f t="shared" si="5"/>
        <v>0</v>
      </c>
      <c r="W39" s="23">
        <f t="shared" si="5"/>
        <v>0</v>
      </c>
      <c r="X39" s="23">
        <f t="shared" si="5"/>
        <v>1</v>
      </c>
      <c r="Y39" s="23">
        <f t="shared" si="5"/>
        <v>0</v>
      </c>
      <c r="Z39" s="23">
        <f t="shared" si="5"/>
        <v>0</v>
      </c>
      <c r="AA39" s="23">
        <f t="shared" si="5"/>
        <v>0</v>
      </c>
      <c r="AC39" s="38">
        <f t="array" ref="AC39">MMULT(solution, TRANSPOSE(D39:AA39))</f>
        <v>3.6225329846303325E-3</v>
      </c>
      <c r="AD39" s="32" t="s">
        <v>71</v>
      </c>
      <c r="AE39" s="37">
        <v>0</v>
      </c>
      <c r="AF39" s="33" t="str">
        <f t="shared" si="1"/>
        <v/>
      </c>
      <c r="AH39" s="22">
        <f t="array" ref="AH39">MMULT(assetwts,TRANSPOSE(D39:F39))</f>
        <v>3.6225329846303325E-3</v>
      </c>
    </row>
    <row r="40" spans="1:34">
      <c r="A40" s="15">
        <v>18</v>
      </c>
      <c r="B40" s="16">
        <v>20</v>
      </c>
      <c r="C40" s="31" t="s">
        <v>59</v>
      </c>
      <c r="D40" s="27">
        <v>2.0519678536412671E-3</v>
      </c>
      <c r="E40" s="27">
        <v>5.5329999594824548E-2</v>
      </c>
      <c r="F40" s="27">
        <v>8.4043176942751319E-2</v>
      </c>
      <c r="G40" s="23">
        <v>1</v>
      </c>
      <c r="H40" s="23">
        <f t="shared" si="4"/>
        <v>0</v>
      </c>
      <c r="I40" s="23">
        <f t="shared" si="4"/>
        <v>0</v>
      </c>
      <c r="J40" s="23">
        <f t="shared" si="4"/>
        <v>0</v>
      </c>
      <c r="K40" s="23">
        <f t="shared" si="4"/>
        <v>0</v>
      </c>
      <c r="L40" s="23">
        <f t="shared" si="4"/>
        <v>0</v>
      </c>
      <c r="M40" s="23">
        <f t="shared" si="4"/>
        <v>0</v>
      </c>
      <c r="N40" s="23">
        <f t="shared" si="4"/>
        <v>0</v>
      </c>
      <c r="O40" s="23">
        <f t="shared" si="4"/>
        <v>0</v>
      </c>
      <c r="P40" s="23">
        <f t="shared" si="4"/>
        <v>0</v>
      </c>
      <c r="Q40" s="23">
        <f t="shared" si="4"/>
        <v>0</v>
      </c>
      <c r="R40" s="23">
        <f t="shared" si="5"/>
        <v>0</v>
      </c>
      <c r="S40" s="23">
        <f t="shared" si="5"/>
        <v>0</v>
      </c>
      <c r="T40" s="23">
        <f t="shared" si="5"/>
        <v>0</v>
      </c>
      <c r="U40" s="23">
        <f t="shared" si="5"/>
        <v>0</v>
      </c>
      <c r="V40" s="23">
        <f t="shared" si="5"/>
        <v>0</v>
      </c>
      <c r="W40" s="23">
        <f t="shared" si="5"/>
        <v>0</v>
      </c>
      <c r="X40" s="23">
        <f t="shared" si="5"/>
        <v>0</v>
      </c>
      <c r="Y40" s="23">
        <f t="shared" si="5"/>
        <v>1</v>
      </c>
      <c r="Z40" s="23">
        <f t="shared" si="5"/>
        <v>0</v>
      </c>
      <c r="AA40" s="23">
        <f t="shared" si="5"/>
        <v>0</v>
      </c>
      <c r="AC40" s="38">
        <f t="array" ref="AC40">MMULT(solution, TRANSPOSE(D40:AA40))</f>
        <v>4.5121432155671541E-3</v>
      </c>
      <c r="AD40" s="32" t="s">
        <v>71</v>
      </c>
      <c r="AE40" s="37">
        <v>0</v>
      </c>
      <c r="AF40" s="33" t="str">
        <f t="shared" si="1"/>
        <v/>
      </c>
      <c r="AH40" s="22">
        <f t="array" ref="AH40">MMULT(assetwts,TRANSPOSE(D40:F40))</f>
        <v>4.5121432155671541E-3</v>
      </c>
    </row>
    <row r="41" spans="1:34">
      <c r="A41" s="15">
        <v>19</v>
      </c>
      <c r="B41" s="16">
        <v>21</v>
      </c>
      <c r="C41" s="31" t="s">
        <v>60</v>
      </c>
      <c r="D41" s="27">
        <v>2.0818289852095863E-2</v>
      </c>
      <c r="E41" s="27">
        <v>0.11085738292208182</v>
      </c>
      <c r="F41" s="27">
        <v>-0.1128468080554261</v>
      </c>
      <c r="G41" s="23">
        <v>1</v>
      </c>
      <c r="H41" s="23">
        <f t="shared" si="4"/>
        <v>0</v>
      </c>
      <c r="I41" s="23">
        <f t="shared" si="4"/>
        <v>0</v>
      </c>
      <c r="J41" s="23">
        <f t="shared" si="4"/>
        <v>0</v>
      </c>
      <c r="K41" s="23">
        <f t="shared" si="4"/>
        <v>0</v>
      </c>
      <c r="L41" s="23">
        <f t="shared" si="4"/>
        <v>0</v>
      </c>
      <c r="M41" s="23">
        <f t="shared" si="4"/>
        <v>0</v>
      </c>
      <c r="N41" s="23">
        <f t="shared" si="4"/>
        <v>0</v>
      </c>
      <c r="O41" s="23">
        <f t="shared" si="4"/>
        <v>0</v>
      </c>
      <c r="P41" s="23">
        <f t="shared" si="4"/>
        <v>0</v>
      </c>
      <c r="Q41" s="23">
        <f t="shared" si="4"/>
        <v>0</v>
      </c>
      <c r="R41" s="23">
        <f t="shared" si="5"/>
        <v>0</v>
      </c>
      <c r="S41" s="23">
        <f t="shared" si="5"/>
        <v>0</v>
      </c>
      <c r="T41" s="23">
        <f t="shared" si="5"/>
        <v>0</v>
      </c>
      <c r="U41" s="23">
        <f t="shared" si="5"/>
        <v>0</v>
      </c>
      <c r="V41" s="23">
        <f t="shared" si="5"/>
        <v>0</v>
      </c>
      <c r="W41" s="23">
        <f t="shared" si="5"/>
        <v>0</v>
      </c>
      <c r="X41" s="23">
        <f t="shared" si="5"/>
        <v>0</v>
      </c>
      <c r="Y41" s="23">
        <f t="shared" si="5"/>
        <v>0</v>
      </c>
      <c r="Z41" s="23">
        <f t="shared" si="5"/>
        <v>1</v>
      </c>
      <c r="AA41" s="23">
        <f t="shared" si="5"/>
        <v>0</v>
      </c>
      <c r="AC41" s="38">
        <f t="array" ref="AC41">MMULT(solution, TRANSPOSE(D41:AA41))</f>
        <v>2.4975950169898207E-2</v>
      </c>
      <c r="AD41" s="32" t="s">
        <v>71</v>
      </c>
      <c r="AE41" s="37">
        <v>0</v>
      </c>
      <c r="AF41" s="33" t="str">
        <f t="shared" si="1"/>
        <v/>
      </c>
      <c r="AH41" s="22">
        <f t="array" ref="AH41">MMULT(assetwts,TRANSPOSE(D41:F41))</f>
        <v>2.4975950169898207E-2</v>
      </c>
    </row>
    <row r="42" spans="1:34">
      <c r="A42" s="15">
        <v>20</v>
      </c>
      <c r="B42" s="16">
        <v>22</v>
      </c>
      <c r="C42" s="31" t="s">
        <v>61</v>
      </c>
      <c r="D42" s="27">
        <v>4.4938672666202722E-3</v>
      </c>
      <c r="E42" s="27">
        <v>-7.8601420152980134E-3</v>
      </c>
      <c r="F42" s="27">
        <v>0.13064758314814157</v>
      </c>
      <c r="G42" s="23">
        <v>1</v>
      </c>
      <c r="H42" s="23">
        <f t="shared" si="4"/>
        <v>0</v>
      </c>
      <c r="I42" s="23">
        <f t="shared" si="4"/>
        <v>0</v>
      </c>
      <c r="J42" s="23">
        <f t="shared" si="4"/>
        <v>0</v>
      </c>
      <c r="K42" s="23">
        <f t="shared" si="4"/>
        <v>0</v>
      </c>
      <c r="L42" s="23">
        <f t="shared" si="4"/>
        <v>0</v>
      </c>
      <c r="M42" s="23">
        <f t="shared" si="4"/>
        <v>0</v>
      </c>
      <c r="N42" s="23">
        <f t="shared" si="4"/>
        <v>0</v>
      </c>
      <c r="O42" s="23">
        <f t="shared" si="4"/>
        <v>0</v>
      </c>
      <c r="P42" s="23">
        <f t="shared" si="4"/>
        <v>0</v>
      </c>
      <c r="Q42" s="23">
        <f t="shared" si="4"/>
        <v>0</v>
      </c>
      <c r="R42" s="23">
        <f t="shared" si="5"/>
        <v>0</v>
      </c>
      <c r="S42" s="23">
        <f t="shared" si="5"/>
        <v>0</v>
      </c>
      <c r="T42" s="23">
        <f t="shared" si="5"/>
        <v>0</v>
      </c>
      <c r="U42" s="23">
        <f t="shared" si="5"/>
        <v>0</v>
      </c>
      <c r="V42" s="23">
        <f t="shared" si="5"/>
        <v>0</v>
      </c>
      <c r="W42" s="23">
        <f t="shared" si="5"/>
        <v>0</v>
      </c>
      <c r="X42" s="23">
        <f t="shared" si="5"/>
        <v>0</v>
      </c>
      <c r="Y42" s="23">
        <f t="shared" si="5"/>
        <v>0</v>
      </c>
      <c r="Z42" s="23">
        <f t="shared" si="5"/>
        <v>0</v>
      </c>
      <c r="AA42" s="23">
        <f t="shared" si="5"/>
        <v>1</v>
      </c>
      <c r="AC42" s="38">
        <f t="array" ref="AC42">MMULT(solution, TRANSPOSE(D42:AA42))</f>
        <v>3.9234064544787159E-3</v>
      </c>
      <c r="AD42" s="32" t="s">
        <v>71</v>
      </c>
      <c r="AE42" s="37">
        <v>0</v>
      </c>
      <c r="AF42" s="33" t="str">
        <f t="shared" si="1"/>
        <v/>
      </c>
      <c r="AH42" s="22">
        <f t="array" ref="AH42">MMULT(assetwts,TRANSPOSE(D42:F42))</f>
        <v>3.9234064544787159E-3</v>
      </c>
    </row>
    <row r="43" spans="1:34">
      <c r="A43" s="15">
        <v>1</v>
      </c>
      <c r="B43" s="16">
        <v>23</v>
      </c>
      <c r="C43" s="31" t="s">
        <v>62</v>
      </c>
      <c r="D43" s="23">
        <f t="shared" ref="D43:F45" si="6">IF(D$17=$A43,1,0)</f>
        <v>1</v>
      </c>
      <c r="E43" s="23">
        <f t="shared" si="6"/>
        <v>0</v>
      </c>
      <c r="F43" s="23">
        <f t="shared" si="6"/>
        <v>0</v>
      </c>
      <c r="G43" s="23">
        <v>0</v>
      </c>
      <c r="H43" s="23">
        <v>0</v>
      </c>
      <c r="I43" s="23">
        <v>0</v>
      </c>
      <c r="J43" s="23">
        <v>0</v>
      </c>
      <c r="K43" s="23">
        <v>0</v>
      </c>
      <c r="L43" s="23">
        <v>0</v>
      </c>
      <c r="M43" s="23">
        <v>0</v>
      </c>
      <c r="N43" s="23">
        <v>0</v>
      </c>
      <c r="O43" s="23">
        <v>0</v>
      </c>
      <c r="P43" s="23">
        <v>0</v>
      </c>
      <c r="Q43" s="23">
        <v>0</v>
      </c>
      <c r="R43" s="23">
        <v>0</v>
      </c>
      <c r="S43" s="23">
        <v>0</v>
      </c>
      <c r="T43" s="23">
        <v>0</v>
      </c>
      <c r="U43" s="23">
        <v>0</v>
      </c>
      <c r="V43" s="23">
        <v>0</v>
      </c>
      <c r="W43" s="23">
        <v>0</v>
      </c>
      <c r="X43" s="23">
        <v>0</v>
      </c>
      <c r="Y43" s="23">
        <v>0</v>
      </c>
      <c r="Z43" s="23">
        <v>0</v>
      </c>
      <c r="AA43" s="23">
        <v>0</v>
      </c>
      <c r="AC43" s="38">
        <f t="array" ref="AC43">MMULT(solution, TRANSPOSE(D43:AA43))</f>
        <v>0.95382383167086493</v>
      </c>
      <c r="AD43" s="32" t="s">
        <v>71</v>
      </c>
      <c r="AE43" s="37">
        <f t="array" ref="AE43:AE45">TRANSPOSE(lb)</f>
        <v>0</v>
      </c>
      <c r="AF43" s="33" t="str">
        <f t="shared" si="1"/>
        <v/>
      </c>
    </row>
    <row r="44" spans="1:34">
      <c r="A44" s="15">
        <v>2</v>
      </c>
      <c r="B44" s="16">
        <v>24</v>
      </c>
      <c r="C44" s="31" t="s">
        <v>63</v>
      </c>
      <c r="D44" s="23">
        <f t="shared" si="6"/>
        <v>0</v>
      </c>
      <c r="E44" s="23">
        <f t="shared" si="6"/>
        <v>1</v>
      </c>
      <c r="F44" s="23">
        <f t="shared" si="6"/>
        <v>0</v>
      </c>
      <c r="G44" s="23">
        <v>0</v>
      </c>
      <c r="H44" s="23">
        <v>0</v>
      </c>
      <c r="I44" s="23">
        <v>0</v>
      </c>
      <c r="J44" s="23">
        <v>0</v>
      </c>
      <c r="K44" s="23">
        <v>0</v>
      </c>
      <c r="L44" s="23">
        <v>0</v>
      </c>
      <c r="M44" s="23">
        <v>0</v>
      </c>
      <c r="N44" s="23">
        <v>0</v>
      </c>
      <c r="O44" s="23">
        <v>0</v>
      </c>
      <c r="P44" s="23">
        <v>0</v>
      </c>
      <c r="Q44" s="23">
        <v>0</v>
      </c>
      <c r="R44" s="23">
        <v>0</v>
      </c>
      <c r="S44" s="23">
        <v>0</v>
      </c>
      <c r="T44" s="23">
        <v>0</v>
      </c>
      <c r="U44" s="23">
        <v>0</v>
      </c>
      <c r="V44" s="23">
        <v>0</v>
      </c>
      <c r="W44" s="23">
        <v>0</v>
      </c>
      <c r="X44" s="23">
        <v>0</v>
      </c>
      <c r="Y44" s="23">
        <v>0</v>
      </c>
      <c r="Z44" s="23">
        <v>0</v>
      </c>
      <c r="AA44" s="23">
        <v>0</v>
      </c>
      <c r="AC44" s="38">
        <f t="array" ref="AC44">MMULT(solution, TRANSPOSE(D44:AA44))</f>
        <v>4.6176168329135195E-2</v>
      </c>
      <c r="AD44" s="32" t="s">
        <v>71</v>
      </c>
      <c r="AE44" s="37">
        <v>0</v>
      </c>
      <c r="AF44" s="33" t="str">
        <f t="shared" si="1"/>
        <v/>
      </c>
    </row>
    <row r="45" spans="1:34">
      <c r="A45" s="15">
        <v>3</v>
      </c>
      <c r="B45" s="16">
        <v>25</v>
      </c>
      <c r="C45" s="31" t="s">
        <v>64</v>
      </c>
      <c r="D45" s="23">
        <f t="shared" si="6"/>
        <v>0</v>
      </c>
      <c r="E45" s="23">
        <f t="shared" si="6"/>
        <v>0</v>
      </c>
      <c r="F45" s="23">
        <f t="shared" si="6"/>
        <v>1</v>
      </c>
      <c r="G45" s="23">
        <v>0</v>
      </c>
      <c r="H45" s="23">
        <v>0</v>
      </c>
      <c r="I45" s="23">
        <v>0</v>
      </c>
      <c r="J45" s="23">
        <v>0</v>
      </c>
      <c r="K45" s="23">
        <v>0</v>
      </c>
      <c r="L45" s="23">
        <v>0</v>
      </c>
      <c r="M45" s="23">
        <v>0</v>
      </c>
      <c r="N45" s="23">
        <v>0</v>
      </c>
      <c r="O45" s="23">
        <v>0</v>
      </c>
      <c r="P45" s="23">
        <v>0</v>
      </c>
      <c r="Q45" s="23">
        <v>0</v>
      </c>
      <c r="R45" s="23">
        <v>0</v>
      </c>
      <c r="S45" s="23">
        <v>0</v>
      </c>
      <c r="T45" s="23">
        <v>0</v>
      </c>
      <c r="U45" s="23">
        <v>0</v>
      </c>
      <c r="V45" s="23">
        <v>0</v>
      </c>
      <c r="W45" s="23">
        <v>0</v>
      </c>
      <c r="X45" s="23">
        <v>0</v>
      </c>
      <c r="Y45" s="23">
        <v>0</v>
      </c>
      <c r="Z45" s="23">
        <v>0</v>
      </c>
      <c r="AA45" s="23">
        <v>0</v>
      </c>
      <c r="AC45" s="38">
        <f t="array" ref="AC45">MMULT(solution, TRANSPOSE(D45:AA45))</f>
        <v>0</v>
      </c>
      <c r="AD45" s="32" t="s">
        <v>71</v>
      </c>
      <c r="AE45" s="37">
        <v>0</v>
      </c>
      <c r="AF45" s="33" t="str">
        <f t="shared" si="1"/>
        <v/>
      </c>
    </row>
    <row r="46" spans="1:34">
      <c r="A46" s="15">
        <v>1</v>
      </c>
      <c r="B46" s="16">
        <v>26</v>
      </c>
      <c r="C46" s="31" t="s">
        <v>65</v>
      </c>
      <c r="D46" s="23">
        <f t="shared" ref="D46:F48" si="7">IF(D$17=$A46,-1,0)</f>
        <v>-1</v>
      </c>
      <c r="E46" s="23">
        <f t="shared" si="7"/>
        <v>0</v>
      </c>
      <c r="F46" s="23">
        <f t="shared" si="7"/>
        <v>0</v>
      </c>
      <c r="G46" s="23">
        <v>0</v>
      </c>
      <c r="H46" s="23">
        <v>0</v>
      </c>
      <c r="I46" s="23">
        <v>0</v>
      </c>
      <c r="J46" s="23">
        <v>0</v>
      </c>
      <c r="K46" s="23">
        <v>0</v>
      </c>
      <c r="L46" s="23">
        <v>0</v>
      </c>
      <c r="M46" s="23">
        <v>0</v>
      </c>
      <c r="N46" s="23">
        <v>0</v>
      </c>
      <c r="O46" s="23">
        <v>0</v>
      </c>
      <c r="P46" s="23">
        <v>0</v>
      </c>
      <c r="Q46" s="23">
        <v>0</v>
      </c>
      <c r="R46" s="23">
        <v>0</v>
      </c>
      <c r="S46" s="23">
        <v>0</v>
      </c>
      <c r="T46" s="23">
        <v>0</v>
      </c>
      <c r="U46" s="23">
        <v>0</v>
      </c>
      <c r="V46" s="23">
        <v>0</v>
      </c>
      <c r="W46" s="23">
        <v>0</v>
      </c>
      <c r="X46" s="23">
        <v>0</v>
      </c>
      <c r="Y46" s="23">
        <v>0</v>
      </c>
      <c r="Z46" s="23">
        <v>0</v>
      </c>
      <c r="AA46" s="23">
        <v>0</v>
      </c>
      <c r="AC46" s="38">
        <f t="array" ref="AC46">MMULT(solution, TRANSPOSE(D46:AA46))</f>
        <v>-0.95382383167086493</v>
      </c>
      <c r="AD46" s="32" t="s">
        <v>71</v>
      </c>
      <c r="AE46" s="37">
        <f t="array" ref="AE46:AE48">TRANSPOSE(-ub)</f>
        <v>-1</v>
      </c>
      <c r="AF46" s="33" t="str">
        <f t="shared" si="1"/>
        <v/>
      </c>
    </row>
    <row r="47" spans="1:34">
      <c r="A47" s="15">
        <v>2</v>
      </c>
      <c r="B47" s="16">
        <v>27</v>
      </c>
      <c r="C47" s="31" t="s">
        <v>66</v>
      </c>
      <c r="D47" s="23">
        <f t="shared" si="7"/>
        <v>0</v>
      </c>
      <c r="E47" s="23">
        <f t="shared" si="7"/>
        <v>-1</v>
      </c>
      <c r="F47" s="23">
        <f t="shared" si="7"/>
        <v>0</v>
      </c>
      <c r="G47" s="23">
        <v>0</v>
      </c>
      <c r="H47" s="23">
        <v>0</v>
      </c>
      <c r="I47" s="23">
        <v>0</v>
      </c>
      <c r="J47" s="23">
        <v>0</v>
      </c>
      <c r="K47" s="23">
        <v>0</v>
      </c>
      <c r="L47" s="23">
        <v>0</v>
      </c>
      <c r="M47" s="23">
        <v>0</v>
      </c>
      <c r="N47" s="23">
        <v>0</v>
      </c>
      <c r="O47" s="23">
        <v>0</v>
      </c>
      <c r="P47" s="23">
        <v>0</v>
      </c>
      <c r="Q47" s="23">
        <v>0</v>
      </c>
      <c r="R47" s="23">
        <v>0</v>
      </c>
      <c r="S47" s="23">
        <v>0</v>
      </c>
      <c r="T47" s="23">
        <v>0</v>
      </c>
      <c r="U47" s="23">
        <v>0</v>
      </c>
      <c r="V47" s="23">
        <v>0</v>
      </c>
      <c r="W47" s="23">
        <v>0</v>
      </c>
      <c r="X47" s="23">
        <v>0</v>
      </c>
      <c r="Y47" s="23">
        <v>0</v>
      </c>
      <c r="Z47" s="23">
        <v>0</v>
      </c>
      <c r="AA47" s="23">
        <v>0</v>
      </c>
      <c r="AC47" s="38">
        <f t="array" ref="AC47">MMULT(solution, TRANSPOSE(D47:AA47))</f>
        <v>-4.6176168329135195E-2</v>
      </c>
      <c r="AD47" s="32" t="s">
        <v>71</v>
      </c>
      <c r="AE47" s="37">
        <v>-1</v>
      </c>
      <c r="AF47" s="33" t="str">
        <f t="shared" si="1"/>
        <v/>
      </c>
    </row>
    <row r="48" spans="1:34">
      <c r="A48" s="15">
        <v>3</v>
      </c>
      <c r="B48" s="16">
        <v>28</v>
      </c>
      <c r="C48" s="31" t="s">
        <v>67</v>
      </c>
      <c r="D48" s="23">
        <f t="shared" si="7"/>
        <v>0</v>
      </c>
      <c r="E48" s="23">
        <f t="shared" si="7"/>
        <v>0</v>
      </c>
      <c r="F48" s="23">
        <f t="shared" si="7"/>
        <v>-1</v>
      </c>
      <c r="G48" s="23">
        <v>0</v>
      </c>
      <c r="H48" s="23">
        <v>0</v>
      </c>
      <c r="I48" s="23">
        <v>0</v>
      </c>
      <c r="J48" s="23">
        <v>0</v>
      </c>
      <c r="K48" s="23">
        <v>0</v>
      </c>
      <c r="L48" s="23">
        <v>0</v>
      </c>
      <c r="M48" s="23">
        <v>0</v>
      </c>
      <c r="N48" s="23">
        <v>0</v>
      </c>
      <c r="O48" s="23">
        <v>0</v>
      </c>
      <c r="P48" s="23">
        <v>0</v>
      </c>
      <c r="Q48" s="23">
        <v>0</v>
      </c>
      <c r="R48" s="23">
        <v>0</v>
      </c>
      <c r="S48" s="23">
        <v>0</v>
      </c>
      <c r="T48" s="23">
        <v>0</v>
      </c>
      <c r="U48" s="23">
        <v>0</v>
      </c>
      <c r="V48" s="23">
        <v>0</v>
      </c>
      <c r="W48" s="23">
        <v>0</v>
      </c>
      <c r="X48" s="23">
        <v>0</v>
      </c>
      <c r="Y48" s="23">
        <v>0</v>
      </c>
      <c r="Z48" s="23">
        <v>0</v>
      </c>
      <c r="AA48" s="23">
        <v>0</v>
      </c>
      <c r="AC48" s="38">
        <f t="array" ref="AC48">MMULT(solution, TRANSPOSE(D48:AA48))</f>
        <v>0</v>
      </c>
      <c r="AD48" s="32" t="s">
        <v>71</v>
      </c>
      <c r="AE48" s="37">
        <v>-1</v>
      </c>
      <c r="AF48" s="33" t="str">
        <f t="shared" si="1"/>
        <v/>
      </c>
    </row>
    <row r="50" spans="3:27">
      <c r="C50" s="15" t="s">
        <v>76</v>
      </c>
      <c r="D50" s="18">
        <f t="array" ref="D50:F50">exprets</f>
        <v>9.9999999999999985E-3</v>
      </c>
      <c r="E50" s="18">
        <v>0.03</v>
      </c>
      <c r="F50" s="18">
        <v>7.0000000000000048E-2</v>
      </c>
      <c r="G50" s="19">
        <v>0</v>
      </c>
      <c r="H50" s="20">
        <v>0</v>
      </c>
      <c r="I50" s="20">
        <v>0</v>
      </c>
      <c r="J50" s="20">
        <v>0</v>
      </c>
      <c r="K50" s="20">
        <v>0</v>
      </c>
      <c r="L50" s="20">
        <v>0</v>
      </c>
      <c r="M50" s="20">
        <v>0</v>
      </c>
      <c r="N50" s="20">
        <v>0</v>
      </c>
      <c r="O50" s="20">
        <v>0</v>
      </c>
      <c r="P50" s="20">
        <v>0</v>
      </c>
      <c r="Q50" s="20">
        <v>0</v>
      </c>
      <c r="R50" s="20">
        <v>0</v>
      </c>
      <c r="S50" s="20">
        <v>0</v>
      </c>
      <c r="T50" s="20">
        <v>0</v>
      </c>
      <c r="U50" s="20">
        <v>0</v>
      </c>
      <c r="V50" s="20">
        <v>0</v>
      </c>
      <c r="W50" s="20">
        <v>0</v>
      </c>
      <c r="X50" s="20">
        <v>0</v>
      </c>
      <c r="Y50" s="20">
        <v>0</v>
      </c>
      <c r="Z50" s="20">
        <v>0</v>
      </c>
      <c r="AA50" s="20">
        <v>0</v>
      </c>
    </row>
    <row r="51" spans="3:27">
      <c r="C51" s="15" t="s">
        <v>77</v>
      </c>
      <c r="D51" s="18">
        <v>0</v>
      </c>
      <c r="E51" s="18">
        <v>0</v>
      </c>
      <c r="F51" s="18">
        <v>0</v>
      </c>
      <c r="G51" s="19">
        <v>1</v>
      </c>
      <c r="H51" s="20">
        <f t="shared" ref="H51:AA51" si="8">cvarcoef</f>
        <v>0.33333333333333326</v>
      </c>
      <c r="I51" s="20">
        <f t="shared" si="8"/>
        <v>0.33333333333333326</v>
      </c>
      <c r="J51" s="20">
        <f t="shared" si="8"/>
        <v>0.33333333333333326</v>
      </c>
      <c r="K51" s="20">
        <f t="shared" si="8"/>
        <v>0.33333333333333326</v>
      </c>
      <c r="L51" s="20">
        <f t="shared" si="8"/>
        <v>0.33333333333333326</v>
      </c>
      <c r="M51" s="20">
        <f t="shared" si="8"/>
        <v>0.33333333333333326</v>
      </c>
      <c r="N51" s="20">
        <f t="shared" si="8"/>
        <v>0.33333333333333326</v>
      </c>
      <c r="O51" s="20">
        <f t="shared" si="8"/>
        <v>0.33333333333333326</v>
      </c>
      <c r="P51" s="20">
        <f t="shared" si="8"/>
        <v>0.33333333333333326</v>
      </c>
      <c r="Q51" s="20">
        <f t="shared" si="8"/>
        <v>0.33333333333333326</v>
      </c>
      <c r="R51" s="20">
        <f t="shared" si="8"/>
        <v>0.33333333333333326</v>
      </c>
      <c r="S51" s="20">
        <f t="shared" si="8"/>
        <v>0.33333333333333326</v>
      </c>
      <c r="T51" s="20">
        <f t="shared" si="8"/>
        <v>0.33333333333333326</v>
      </c>
      <c r="U51" s="20">
        <f t="shared" si="8"/>
        <v>0.33333333333333326</v>
      </c>
      <c r="V51" s="20">
        <f t="shared" si="8"/>
        <v>0.33333333333333326</v>
      </c>
      <c r="W51" s="20">
        <f t="shared" si="8"/>
        <v>0.33333333333333326</v>
      </c>
      <c r="X51" s="20">
        <f t="shared" si="8"/>
        <v>0.33333333333333326</v>
      </c>
      <c r="Y51" s="20">
        <f t="shared" si="8"/>
        <v>0.33333333333333326</v>
      </c>
      <c r="Z51" s="20">
        <f t="shared" si="8"/>
        <v>0.33333333333333326</v>
      </c>
      <c r="AA51" s="20">
        <f t="shared" si="8"/>
        <v>0.33333333333333326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olveLP">
                <anchor moveWithCells="1" sizeWithCells="1">
                  <from>
                    <xdr:col>2</xdr:col>
                    <xdr:colOff>927100</xdr:colOff>
                    <xdr:row>5</xdr:row>
                    <xdr:rowOff>101600</xdr:rowOff>
                  </from>
                  <to>
                    <xdr:col>3</xdr:col>
                    <xdr:colOff>571500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SeedAssetWts">
                <anchor moveWithCells="1" sizeWithCells="1">
                  <from>
                    <xdr:col>2</xdr:col>
                    <xdr:colOff>139700</xdr:colOff>
                    <xdr:row>5</xdr:row>
                    <xdr:rowOff>101600</xdr:rowOff>
                  </from>
                  <to>
                    <xdr:col>2</xdr:col>
                    <xdr:colOff>812800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2:S29"/>
  <sheetViews>
    <sheetView showGridLines="0" zoomScale="75" zoomScaleNormal="75" workbookViewId="0">
      <selection activeCell="N8" sqref="N8"/>
    </sheetView>
  </sheetViews>
  <sheetFormatPr baseColWidth="10" defaultColWidth="9.19921875" defaultRowHeight="16"/>
  <cols>
    <col min="1" max="2" width="9.19921875" style="2" customWidth="1"/>
    <col min="3" max="16384" width="9.19921875" style="2"/>
  </cols>
  <sheetData>
    <row r="2" spans="1:19">
      <c r="A2" s="1" t="s">
        <v>8</v>
      </c>
      <c r="B2" s="1"/>
      <c r="C2" s="1"/>
      <c r="D2" s="1"/>
      <c r="E2" s="1" t="s">
        <v>7</v>
      </c>
      <c r="F2" s="1"/>
      <c r="G2" s="1"/>
      <c r="H2" s="1"/>
      <c r="I2" s="1" t="s">
        <v>6</v>
      </c>
      <c r="J2" s="1"/>
      <c r="K2" s="1"/>
      <c r="L2" s="1"/>
      <c r="N2" s="8" t="s">
        <v>85</v>
      </c>
      <c r="O2" s="8"/>
    </row>
    <row r="3" spans="1:19">
      <c r="A3" s="2" t="s">
        <v>9</v>
      </c>
      <c r="B3" s="3">
        <f>AVERAGE(B8:B27)</f>
        <v>5.9190161961658275E-3</v>
      </c>
      <c r="C3" s="3">
        <f>AVERAGE(C8:C27)</f>
        <v>3.6593330082351397E-2</v>
      </c>
      <c r="D3" s="3">
        <f>AVERAGE(D8:D27)</f>
        <v>0.13047123005814326</v>
      </c>
      <c r="E3" s="2" t="s">
        <v>9</v>
      </c>
      <c r="F3" s="3">
        <v>0.01</v>
      </c>
      <c r="G3" s="3">
        <v>0.03</v>
      </c>
      <c r="H3" s="3">
        <v>7.0000000000000007E-2</v>
      </c>
      <c r="I3" s="2" t="s">
        <v>9</v>
      </c>
      <c r="J3" s="3">
        <f>AVERAGE(J8:J27)</f>
        <v>9.9999999999999985E-3</v>
      </c>
      <c r="K3" s="3">
        <f>AVERAGE(K8:K27)</f>
        <v>0.03</v>
      </c>
      <c r="L3" s="3">
        <f>AVERAGE(L8:L27)</f>
        <v>7.0000000000000048E-2</v>
      </c>
      <c r="N3" s="2" t="s">
        <v>15</v>
      </c>
      <c r="O3" s="2">
        <f>ROWS(assetrets)</f>
        <v>20</v>
      </c>
    </row>
    <row r="4" spans="1:19">
      <c r="A4" s="2" t="s">
        <v>10</v>
      </c>
      <c r="B4" s="3">
        <f>_xlfn.STDEV.S(B8:B27)</f>
        <v>6.33155935009548E-3</v>
      </c>
      <c r="C4" s="3">
        <f>_xlfn.STDEV.S(C8:C27)</f>
        <v>5.6786952663481591E-2</v>
      </c>
      <c r="D4" s="3">
        <f>_xlfn.STDEV.S(D8:D27)</f>
        <v>0.17894171624254279</v>
      </c>
      <c r="E4" s="2" t="s">
        <v>10</v>
      </c>
      <c r="F4" s="3">
        <v>0.01</v>
      </c>
      <c r="G4" s="3">
        <v>0.05</v>
      </c>
      <c r="H4" s="3">
        <v>0.15</v>
      </c>
      <c r="I4" s="2" t="s">
        <v>10</v>
      </c>
      <c r="J4" s="3">
        <f>_xlfn.STDEV.S(J8:J27)</f>
        <v>9.9999999999999985E-3</v>
      </c>
      <c r="K4" s="3">
        <f>_xlfn.STDEV.S(K8:K27)</f>
        <v>4.9999999999999989E-2</v>
      </c>
      <c r="L4" s="3">
        <f>_xlfn.STDEV.S(L8:L27)</f>
        <v>0.15</v>
      </c>
      <c r="N4" s="2" t="s">
        <v>73</v>
      </c>
      <c r="O4" s="4">
        <f>1/(numobs*(1-confidence))</f>
        <v>0.33333333333333326</v>
      </c>
    </row>
    <row r="5" spans="1:19">
      <c r="N5" s="2" t="s">
        <v>81</v>
      </c>
      <c r="O5" s="2">
        <v>1E-4</v>
      </c>
    </row>
    <row r="6" spans="1:19">
      <c r="B6" s="1" t="s">
        <v>3</v>
      </c>
      <c r="C6" s="1"/>
      <c r="D6" s="1"/>
      <c r="F6" s="1" t="s">
        <v>4</v>
      </c>
      <c r="G6" s="1"/>
      <c r="H6" s="1"/>
      <c r="J6" s="1" t="s">
        <v>5</v>
      </c>
      <c r="K6" s="1"/>
      <c r="L6" s="1"/>
    </row>
    <row r="7" spans="1:19">
      <c r="B7" s="2" t="s">
        <v>0</v>
      </c>
      <c r="C7" s="2" t="s">
        <v>1</v>
      </c>
      <c r="D7" s="2" t="s">
        <v>2</v>
      </c>
      <c r="F7" s="2" t="s">
        <v>0</v>
      </c>
      <c r="G7" s="2" t="s">
        <v>1</v>
      </c>
      <c r="H7" s="2" t="s">
        <v>2</v>
      </c>
      <c r="J7" s="2" t="s">
        <v>0</v>
      </c>
      <c r="K7" s="2" t="s">
        <v>1</v>
      </c>
      <c r="L7" s="2" t="s">
        <v>2</v>
      </c>
      <c r="N7" s="2">
        <f>'LP Model'!B4</f>
        <v>2</v>
      </c>
    </row>
    <row r="8" spans="1:19">
      <c r="B8" s="3">
        <v>9.9102114147964215E-4</v>
      </c>
      <c r="C8" s="3">
        <v>6.0279989365667141E-2</v>
      </c>
      <c r="D8" s="3">
        <v>9.8244933667118506E-2</v>
      </c>
      <c r="F8" s="5">
        <f>(B8-B$3)/B$4</f>
        <v>-0.77832249248549978</v>
      </c>
      <c r="G8" s="5">
        <f>(C8-C$3)/C$4</f>
        <v>0.41711446331136026</v>
      </c>
      <c r="H8" s="5">
        <f>(D8-D$3)/D$4</f>
        <v>-0.18009381528086105</v>
      </c>
      <c r="J8" s="3">
        <f>F$3+F8*F$4</f>
        <v>2.216775075145002E-3</v>
      </c>
      <c r="K8" s="3">
        <f>G$3+G8*G$4</f>
        <v>5.0855723165568009E-2</v>
      </c>
      <c r="L8" s="3">
        <f>H$3+H8*H$4</f>
        <v>4.2985927707870852E-2</v>
      </c>
      <c r="N8" s="2" t="s">
        <v>12</v>
      </c>
      <c r="P8" s="6" t="s">
        <v>99</v>
      </c>
      <c r="Q8" s="6"/>
      <c r="R8" s="6"/>
      <c r="S8" s="6"/>
    </row>
    <row r="9" spans="1:19">
      <c r="B9" s="3">
        <v>5.1709727734414734E-3</v>
      </c>
      <c r="C9" s="3">
        <v>6.461615439721724E-2</v>
      </c>
      <c r="D9" s="3">
        <v>0.31294412701977614</v>
      </c>
      <c r="F9" s="5">
        <f t="shared" ref="F9:F27" si="0">(B9-B$3)/B$4</f>
        <v>-0.1181452121605831</v>
      </c>
      <c r="G9" s="5">
        <f t="shared" ref="G9:G27" si="1">(C9-C$3)/C$4</f>
        <v>0.49347293701298905</v>
      </c>
      <c r="H9" s="5">
        <f t="shared" ref="H9:H27" si="2">(D9-D$3)/D$4</f>
        <v>1.0197336920268711</v>
      </c>
      <c r="J9" s="3">
        <f t="shared" ref="J9:J27" si="3">F$3+F9*F$4</f>
        <v>8.8185478783941694E-3</v>
      </c>
      <c r="K9" s="3">
        <f t="shared" ref="K9:K27" si="4">G$3+G9*G$4</f>
        <v>5.4673646850649453E-2</v>
      </c>
      <c r="L9" s="3">
        <f t="shared" ref="L9:L27" si="5">H$3+H9*H$4</f>
        <v>0.22296005380403067</v>
      </c>
      <c r="N9" s="2" t="s">
        <v>13</v>
      </c>
      <c r="P9" s="2" t="s">
        <v>100</v>
      </c>
      <c r="Q9" s="3">
        <f ca="1">RAND()</f>
        <v>0.11657517798467332</v>
      </c>
      <c r="R9" s="3">
        <f ca="1">RAND()</f>
        <v>0.90910629909016272</v>
      </c>
      <c r="S9" s="3">
        <f ca="1">RAND()</f>
        <v>0.39943818588078261</v>
      </c>
    </row>
    <row r="10" spans="1:19">
      <c r="B10" s="3">
        <v>8.6246967181631273E-3</v>
      </c>
      <c r="C10" s="3">
        <v>4.1106432539876891E-3</v>
      </c>
      <c r="D10" s="3">
        <v>3.6914242849058976E-2</v>
      </c>
      <c r="F10" s="5">
        <f t="shared" si="0"/>
        <v>0.42733241092599061</v>
      </c>
      <c r="G10" s="5">
        <f t="shared" si="1"/>
        <v>-0.57200968364785298</v>
      </c>
      <c r="H10" s="5">
        <f t="shared" si="2"/>
        <v>-0.52283497204349172</v>
      </c>
      <c r="J10" s="3">
        <f t="shared" si="3"/>
        <v>1.4273324109259907E-2</v>
      </c>
      <c r="K10" s="3">
        <f t="shared" si="4"/>
        <v>1.3995158176073469E-3</v>
      </c>
      <c r="L10" s="3">
        <f t="shared" si="5"/>
        <v>-8.4252458065237484E-3</v>
      </c>
      <c r="N10" s="2" t="s">
        <v>78</v>
      </c>
      <c r="P10" s="2" t="s">
        <v>101</v>
      </c>
      <c r="Q10" s="3">
        <f ca="1">Q9/SUM($Q9:$S9)</f>
        <v>8.1800273348908034E-2</v>
      </c>
      <c r="R10" s="3">
        <f ca="1">R9/SUM($Q9:$S9)</f>
        <v>0.63791576435393982</v>
      </c>
      <c r="S10" s="3">
        <f ca="1">S9/SUM($Q9:$S9)</f>
        <v>0.28028396229715197</v>
      </c>
    </row>
    <row r="11" spans="1:19">
      <c r="B11" s="3">
        <v>7.8182585177621888E-4</v>
      </c>
      <c r="C11" s="3">
        <v>-1.3492794573577549E-2</v>
      </c>
      <c r="D11" s="3">
        <v>0.23530070011447224</v>
      </c>
      <c r="F11" s="5">
        <f t="shared" si="0"/>
        <v>-0.81136258231744129</v>
      </c>
      <c r="G11" s="5">
        <f t="shared" si="1"/>
        <v>-0.88200057067225235</v>
      </c>
      <c r="H11" s="5">
        <f t="shared" si="2"/>
        <v>0.58583024829291386</v>
      </c>
      <c r="J11" s="3">
        <f t="shared" si="3"/>
        <v>1.8863741768255868E-3</v>
      </c>
      <c r="K11" s="3">
        <f t="shared" si="4"/>
        <v>-1.410002853361262E-2</v>
      </c>
      <c r="L11" s="3">
        <f t="shared" si="5"/>
        <v>0.15787453724393707</v>
      </c>
      <c r="N11" s="2" t="s">
        <v>79</v>
      </c>
    </row>
    <row r="12" spans="1:19">
      <c r="B12" s="3">
        <v>1.1310392935242497E-2</v>
      </c>
      <c r="C12" s="3">
        <v>-1.1025714307654422E-2</v>
      </c>
      <c r="D12" s="3">
        <v>0.34149286142005275</v>
      </c>
      <c r="F12" s="5">
        <f t="shared" si="0"/>
        <v>0.85150852119792064</v>
      </c>
      <c r="G12" s="5">
        <f t="shared" si="1"/>
        <v>-0.83855607946063559</v>
      </c>
      <c r="H12" s="5">
        <f t="shared" si="2"/>
        <v>1.179275776453852</v>
      </c>
      <c r="J12" s="3">
        <f t="shared" si="3"/>
        <v>1.8515085211979206E-2</v>
      </c>
      <c r="K12" s="3">
        <f t="shared" si="4"/>
        <v>-1.1927803973031781E-2</v>
      </c>
      <c r="L12" s="3">
        <f t="shared" si="5"/>
        <v>0.2468913664680778</v>
      </c>
      <c r="N12" s="2" t="s">
        <v>80</v>
      </c>
    </row>
    <row r="13" spans="1:19">
      <c r="B13" s="3">
        <v>1.0359335725957042E-2</v>
      </c>
      <c r="C13" s="3">
        <v>7.0428788718306823E-2</v>
      </c>
      <c r="D13" s="3">
        <v>0.27134221266384118</v>
      </c>
      <c r="F13" s="5">
        <f t="shared" si="0"/>
        <v>0.70129951948160352</v>
      </c>
      <c r="G13" s="5">
        <f t="shared" si="1"/>
        <v>0.59583156075417032</v>
      </c>
      <c r="H13" s="5">
        <f t="shared" si="2"/>
        <v>0.78724506260327409</v>
      </c>
      <c r="J13" s="3">
        <f t="shared" si="3"/>
        <v>1.7012995194816034E-2</v>
      </c>
      <c r="K13" s="3">
        <f t="shared" si="4"/>
        <v>5.9791578037708515E-2</v>
      </c>
      <c r="L13" s="3">
        <f t="shared" si="5"/>
        <v>0.18808675939049113</v>
      </c>
    </row>
    <row r="14" spans="1:19">
      <c r="B14" s="3">
        <v>1.2004158653846631E-3</v>
      </c>
      <c r="C14" s="3">
        <v>6.2529436707610353E-2</v>
      </c>
      <c r="D14" s="3">
        <v>1.2576819503763659E-2</v>
      </c>
      <c r="F14" s="5">
        <f t="shared" si="0"/>
        <v>-0.74525090421998619</v>
      </c>
      <c r="G14" s="5">
        <f t="shared" si="1"/>
        <v>0.4567265086217222</v>
      </c>
      <c r="H14" s="5">
        <f t="shared" si="2"/>
        <v>-0.65884251604350375</v>
      </c>
      <c r="J14" s="3">
        <f t="shared" si="3"/>
        <v>2.5474909578001382E-3</v>
      </c>
      <c r="K14" s="3">
        <f t="shared" si="4"/>
        <v>5.2836325431086115E-2</v>
      </c>
      <c r="L14" s="3">
        <f t="shared" si="5"/>
        <v>-2.882637740652555E-2</v>
      </c>
    </row>
    <row r="15" spans="1:19">
      <c r="B15" s="3">
        <v>5.2089308196512363E-4</v>
      </c>
      <c r="C15" s="3">
        <v>-1.6360062183203183E-2</v>
      </c>
      <c r="D15" s="3">
        <v>0.12158610920733159</v>
      </c>
      <c r="F15" s="5">
        <f t="shared" si="0"/>
        <v>-0.85257403677646959</v>
      </c>
      <c r="G15" s="5">
        <f t="shared" si="1"/>
        <v>-0.93249223249142077</v>
      </c>
      <c r="H15" s="5">
        <f t="shared" si="2"/>
        <v>-4.9653714278500141E-2</v>
      </c>
      <c r="J15" s="3">
        <f t="shared" si="3"/>
        <v>1.4742596322353044E-3</v>
      </c>
      <c r="K15" s="3">
        <f t="shared" si="4"/>
        <v>-1.6624611624571045E-2</v>
      </c>
      <c r="L15" s="3">
        <f t="shared" si="5"/>
        <v>6.255194285822499E-2</v>
      </c>
    </row>
    <row r="16" spans="1:19">
      <c r="B16" s="3">
        <v>5.7380056861178197E-4</v>
      </c>
      <c r="C16" s="3">
        <v>-3.8892902967286647E-2</v>
      </c>
      <c r="D16" s="3">
        <v>0.29258683762971627</v>
      </c>
      <c r="F16" s="5">
        <f t="shared" si="0"/>
        <v>-0.84421788251474572</v>
      </c>
      <c r="G16" s="5">
        <f t="shared" si="1"/>
        <v>-1.3292883225653618</v>
      </c>
      <c r="H16" s="5">
        <f t="shared" si="2"/>
        <v>0.90596877561986056</v>
      </c>
      <c r="J16" s="3">
        <f t="shared" si="3"/>
        <v>1.5578211748525431E-3</v>
      </c>
      <c r="K16" s="3">
        <f t="shared" si="4"/>
        <v>-3.646441612826809E-2</v>
      </c>
      <c r="L16" s="3">
        <f t="shared" si="5"/>
        <v>0.20589531634297908</v>
      </c>
    </row>
    <row r="17" spans="2:12">
      <c r="B17" s="3">
        <v>1.3019567687803768E-2</v>
      </c>
      <c r="C17" s="3">
        <v>3.2500000000000001E-2</v>
      </c>
      <c r="D17" s="3">
        <v>-0.1505867357951276</v>
      </c>
      <c r="F17" s="5">
        <f t="shared" si="0"/>
        <v>1.1214538313584417</v>
      </c>
      <c r="G17" s="5">
        <f t="shared" si="1"/>
        <v>-7.2082228229579298E-2</v>
      </c>
      <c r="H17" s="5">
        <f t="shared" si="2"/>
        <v>-1.5706676551169139</v>
      </c>
      <c r="J17" s="3">
        <f t="shared" si="3"/>
        <v>2.1214538313584417E-2</v>
      </c>
      <c r="K17" s="3">
        <f t="shared" si="4"/>
        <v>2.6395888588521033E-2</v>
      </c>
      <c r="L17" s="3">
        <f t="shared" si="5"/>
        <v>-0.16560014826753705</v>
      </c>
    </row>
    <row r="18" spans="2:12">
      <c r="B18" s="3">
        <v>2.276231098555348E-2</v>
      </c>
      <c r="C18" s="3">
        <v>0.11290388493251502</v>
      </c>
      <c r="D18" s="3">
        <v>9.0811576083442036E-2</v>
      </c>
      <c r="F18" s="5">
        <f t="shared" si="0"/>
        <v>2.6602127308707382</v>
      </c>
      <c r="G18" s="5">
        <f t="shared" si="1"/>
        <v>1.3438043647522087</v>
      </c>
      <c r="H18" s="5">
        <f t="shared" si="2"/>
        <v>-0.22163447857483037</v>
      </c>
      <c r="J18" s="3">
        <f t="shared" si="3"/>
        <v>3.6602127308707384E-2</v>
      </c>
      <c r="K18" s="3">
        <f t="shared" si="4"/>
        <v>9.719021823761044E-2</v>
      </c>
      <c r="L18" s="3">
        <f t="shared" si="5"/>
        <v>3.6754828213775452E-2</v>
      </c>
    </row>
    <row r="19" spans="2:12">
      <c r="B19" s="3">
        <v>9.3622745153543185E-3</v>
      </c>
      <c r="C19" s="3">
        <v>7.1309184253140145E-2</v>
      </c>
      <c r="D19" s="3">
        <v>0.30686068783990339</v>
      </c>
      <c r="F19" s="5">
        <f t="shared" si="0"/>
        <v>0.54382469290705882</v>
      </c>
      <c r="G19" s="5">
        <f t="shared" si="1"/>
        <v>0.6113350433948137</v>
      </c>
      <c r="H19" s="5">
        <f t="shared" si="2"/>
        <v>0.98573692868060314</v>
      </c>
      <c r="J19" s="3">
        <f t="shared" si="3"/>
        <v>1.5438246929070589E-2</v>
      </c>
      <c r="K19" s="3">
        <f t="shared" si="4"/>
        <v>6.0566752169740681E-2</v>
      </c>
      <c r="L19" s="3">
        <f t="shared" si="5"/>
        <v>0.21786053930209048</v>
      </c>
    </row>
    <row r="20" spans="2:12">
      <c r="B20" s="3">
        <v>1.1503039093099243E-3</v>
      </c>
      <c r="C20" s="3">
        <v>0.15529014612170311</v>
      </c>
      <c r="D20" s="3">
        <v>-0.13857933529816102</v>
      </c>
      <c r="F20" s="5">
        <f t="shared" si="0"/>
        <v>-0.75316553524590923</v>
      </c>
      <c r="G20" s="5">
        <f t="shared" si="1"/>
        <v>2.0902128124878754</v>
      </c>
      <c r="H20" s="5">
        <f t="shared" si="2"/>
        <v>-1.503565356395852</v>
      </c>
      <c r="J20" s="3">
        <f t="shared" si="3"/>
        <v>2.468344647540908E-3</v>
      </c>
      <c r="K20" s="3">
        <f t="shared" si="4"/>
        <v>0.13451064062439377</v>
      </c>
      <c r="L20" s="3">
        <f t="shared" si="5"/>
        <v>-0.15553480345937779</v>
      </c>
    </row>
    <row r="21" spans="2:12">
      <c r="B21" s="3">
        <v>9.9298691560689711E-4</v>
      </c>
      <c r="C21" s="3">
        <v>-5.4300000000000001E-2</v>
      </c>
      <c r="D21" s="3">
        <v>-0.23258154419954935</v>
      </c>
      <c r="F21" s="5">
        <f t="shared" si="0"/>
        <v>-0.77801202013286752</v>
      </c>
      <c r="G21" s="5">
        <f t="shared" si="1"/>
        <v>-1.6006023535191887</v>
      </c>
      <c r="H21" s="5">
        <f t="shared" si="2"/>
        <v>-2.0288884106018092</v>
      </c>
      <c r="J21" s="3">
        <f t="shared" si="3"/>
        <v>2.2198797986713245E-3</v>
      </c>
      <c r="K21" s="3">
        <f t="shared" si="4"/>
        <v>-5.003011767595944E-2</v>
      </c>
      <c r="L21" s="3">
        <f t="shared" si="5"/>
        <v>-0.23433326159027135</v>
      </c>
    </row>
    <row r="22" spans="2:12">
      <c r="B22" s="3">
        <v>1.357273598084241E-3</v>
      </c>
      <c r="C22" s="3">
        <v>-1.9096228550925742E-2</v>
      </c>
      <c r="D22" s="3">
        <v>0.40731900354562178</v>
      </c>
      <c r="F22" s="5">
        <f t="shared" si="0"/>
        <v>-0.72047695454561211</v>
      </c>
      <c r="G22" s="5">
        <f t="shared" si="1"/>
        <v>-0.98067524354216384</v>
      </c>
      <c r="H22" s="5">
        <f t="shared" si="2"/>
        <v>1.5471393663858182</v>
      </c>
      <c r="J22" s="3">
        <f t="shared" si="3"/>
        <v>2.7952304545438792E-3</v>
      </c>
      <c r="K22" s="3">
        <f t="shared" si="4"/>
        <v>-1.9033762177108199E-2</v>
      </c>
      <c r="L22" s="3">
        <f t="shared" si="5"/>
        <v>0.3020709049578727</v>
      </c>
    </row>
    <row r="23" spans="2:12">
      <c r="B23" s="3">
        <v>1.3123180255999012E-2</v>
      </c>
      <c r="C23" s="3">
        <v>2.4066711043134958E-2</v>
      </c>
      <c r="D23" s="3">
        <v>0.19124004180937626</v>
      </c>
      <c r="F23" s="5">
        <f t="shared" si="0"/>
        <v>1.1378182942760451</v>
      </c>
      <c r="G23" s="5">
        <f t="shared" si="1"/>
        <v>-0.22058973851703131</v>
      </c>
      <c r="H23" s="5">
        <f t="shared" si="2"/>
        <v>0.33960114515088918</v>
      </c>
      <c r="J23" s="3">
        <f t="shared" si="3"/>
        <v>2.1378182942760452E-2</v>
      </c>
      <c r="K23" s="3">
        <f t="shared" si="4"/>
        <v>1.8970513074148432E-2</v>
      </c>
      <c r="L23" s="3">
        <f t="shared" si="5"/>
        <v>0.12094017177263339</v>
      </c>
    </row>
    <row r="24" spans="2:12">
      <c r="B24" s="3">
        <v>9.9094272278121842E-4</v>
      </c>
      <c r="C24" s="3">
        <v>3.9617459749515804E-2</v>
      </c>
      <c r="D24" s="3">
        <v>0.14956256522636213</v>
      </c>
      <c r="F24" s="5">
        <f t="shared" si="0"/>
        <v>-0.77833487785442523</v>
      </c>
      <c r="G24" s="5">
        <f t="shared" si="1"/>
        <v>5.3253952278181624E-2</v>
      </c>
      <c r="H24" s="5">
        <f t="shared" si="2"/>
        <v>0.10669024288524159</v>
      </c>
      <c r="J24" s="3">
        <f t="shared" si="3"/>
        <v>2.2166512214557479E-3</v>
      </c>
      <c r="K24" s="3">
        <f t="shared" si="4"/>
        <v>3.2662697613909081E-2</v>
      </c>
      <c r="L24" s="3">
        <f t="shared" si="5"/>
        <v>8.6003536432786243E-2</v>
      </c>
    </row>
    <row r="25" spans="2:12">
      <c r="B25" s="3">
        <v>8.8667247105211899E-4</v>
      </c>
      <c r="C25" s="3">
        <v>6.5361599841497586E-2</v>
      </c>
      <c r="D25" s="3">
        <v>0.14722396461570075</v>
      </c>
      <c r="F25" s="5">
        <f t="shared" si="0"/>
        <v>-0.79480321463587333</v>
      </c>
      <c r="G25" s="5">
        <f t="shared" si="1"/>
        <v>0.50659999189649096</v>
      </c>
      <c r="H25" s="5">
        <f t="shared" si="2"/>
        <v>9.3621179618342043E-2</v>
      </c>
      <c r="J25" s="3">
        <f t="shared" si="3"/>
        <v>2.0519678536412671E-3</v>
      </c>
      <c r="K25" s="3">
        <f t="shared" si="4"/>
        <v>5.5329999594824548E-2</v>
      </c>
      <c r="L25" s="3">
        <f t="shared" si="5"/>
        <v>8.4043176942751319E-2</v>
      </c>
    </row>
    <row r="26" spans="2:12">
      <c r="B26" s="3">
        <v>1.2768680622673889E-2</v>
      </c>
      <c r="C26" s="3">
        <v>0.12842621761213668</v>
      </c>
      <c r="D26" s="3">
        <v>-8.7654914227915048E-2</v>
      </c>
      <c r="F26" s="5">
        <f t="shared" si="0"/>
        <v>1.0818289852095864</v>
      </c>
      <c r="G26" s="5">
        <f t="shared" si="1"/>
        <v>1.6171476584416362</v>
      </c>
      <c r="H26" s="5">
        <f t="shared" si="2"/>
        <v>-1.2189787203695075</v>
      </c>
      <c r="J26" s="3">
        <f t="shared" si="3"/>
        <v>2.0818289852095863E-2</v>
      </c>
      <c r="K26" s="3">
        <f t="shared" si="4"/>
        <v>0.11085738292208182</v>
      </c>
      <c r="L26" s="3">
        <f t="shared" si="5"/>
        <v>-0.1128468080554261</v>
      </c>
    </row>
    <row r="27" spans="2:12">
      <c r="B27" s="3">
        <v>2.4327755770761073E-3</v>
      </c>
      <c r="C27" s="3">
        <v>-6.4059117667569776E-3</v>
      </c>
      <c r="D27" s="3">
        <v>0.2028204474880817</v>
      </c>
      <c r="F27" s="5">
        <f t="shared" si="0"/>
        <v>-0.55061327333797283</v>
      </c>
      <c r="G27" s="5">
        <f t="shared" si="1"/>
        <v>-0.75720284030596019</v>
      </c>
      <c r="H27" s="5">
        <f t="shared" si="2"/>
        <v>0.40431722098761036</v>
      </c>
      <c r="J27" s="3">
        <f t="shared" si="3"/>
        <v>4.4938672666202722E-3</v>
      </c>
      <c r="K27" s="3">
        <f t="shared" si="4"/>
        <v>-7.8601420152980134E-3</v>
      </c>
      <c r="L27" s="3">
        <f t="shared" si="5"/>
        <v>0.13064758314814157</v>
      </c>
    </row>
    <row r="29" spans="2:12">
      <c r="F29" s="7"/>
      <c r="G29" s="7"/>
      <c r="H29" s="7"/>
    </row>
  </sheetData>
  <mergeCells count="1">
    <mergeCell ref="N2:O2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29</vt:i4>
      </vt:variant>
    </vt:vector>
  </HeadingPairs>
  <TitlesOfParts>
    <vt:vector size="31" baseType="lpstr">
      <vt:lpstr>LP Model</vt:lpstr>
      <vt:lpstr>Boiler Room</vt:lpstr>
      <vt:lpstr>assetrets</vt:lpstr>
      <vt:lpstr>assetwts</vt:lpstr>
      <vt:lpstr>b</vt:lpstr>
      <vt:lpstr>beq</vt:lpstr>
      <vt:lpstr>confidence</vt:lpstr>
      <vt:lpstr>consval</vt:lpstr>
      <vt:lpstr>cvarcoef</vt:lpstr>
      <vt:lpstr>cvarrow</vt:lpstr>
      <vt:lpstr>expretrow</vt:lpstr>
      <vt:lpstr>exprets</vt:lpstr>
      <vt:lpstr>lb</vt:lpstr>
      <vt:lpstr>modelvar</vt:lpstr>
      <vt:lpstr>numobs</vt:lpstr>
      <vt:lpstr>objfun</vt:lpstr>
      <vt:lpstr>objval</vt:lpstr>
      <vt:lpstr>opttype</vt:lpstr>
      <vt:lpstr>opttypeix</vt:lpstr>
      <vt:lpstr>opttypes</vt:lpstr>
      <vt:lpstr>portrets</vt:lpstr>
      <vt:lpstr>prets</vt:lpstr>
      <vt:lpstr>randomwts</vt:lpstr>
      <vt:lpstr>req</vt:lpstr>
      <vt:lpstr>res</vt:lpstr>
      <vt:lpstr>reseq</vt:lpstr>
      <vt:lpstr>solution</vt:lpstr>
      <vt:lpstr>target</vt:lpstr>
      <vt:lpstr>tol</vt:lpstr>
      <vt:lpstr>ub</vt:lpstr>
      <vt:lpstr>value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Roberts Grava</cp:lastModifiedBy>
  <dcterms:created xsi:type="dcterms:W3CDTF">2011-02-04T18:00:44Z</dcterms:created>
  <dcterms:modified xsi:type="dcterms:W3CDTF">2024-10-17T07:31:36Z</dcterms:modified>
</cp:coreProperties>
</file>